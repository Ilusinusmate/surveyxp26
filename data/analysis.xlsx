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nalysi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<sst xmlns="http://schemas.openxmlformats.org/spreadsheetml/2006/main" count="357" uniqueCount="357">
  <si>
    <t xml:space="preserve">Section 1 - Participant Profile</t>
  </si>
  <si>
    <t xml:space="preserve">Section 2 - Organization Profile</t>
  </si>
  <si>
    <t xml:space="preserve">Section 3 - Initiative Characterization</t>
  </si>
  <si>
    <t xml:space="preserve">Section 4 – Knowledge and Use of AI Chat Assistants</t>
  </si>
  <si>
    <t xml:space="preserve">Section 5 – Use of AI Chat Assistants in Scrum</t>
  </si>
  <si>
    <t xml:space="preserve">Section 6 – Perceived Benefits
</t>
  </si>
  <si>
    <t xml:space="preserve">Section 7 – Difficulties and Challenges
</t>
  </si>
  <si>
    <t xml:space="preserve">Section 8 – Future Perspectives
</t>
  </si>
  <si>
    <t>Category</t>
  </si>
  <si>
    <t>Frequency</t>
  </si>
  <si>
    <t>%</t>
  </si>
  <si>
    <t xml:space="preserve">LLM Use frequency</t>
  </si>
  <si>
    <t>PO</t>
  </si>
  <si>
    <t>Question</t>
  </si>
  <si>
    <t>Human-IA</t>
  </si>
  <si>
    <t xml:space="preserve">Less than 20 years old</t>
  </si>
  <si>
    <t>Technology</t>
  </si>
  <si>
    <t>Developer</t>
  </si>
  <si>
    <t xml:space="preserve">Daily or almost daily</t>
  </si>
  <si>
    <t xml:space="preserve">&lt; 1 hour</t>
  </si>
  <si>
    <t>Helpful</t>
  </si>
  <si>
    <t xml:space="preserve">Solutions that are almost right, but not quite</t>
  </si>
  <si>
    <t>81.25%</t>
  </si>
  <si>
    <t xml:space="preserve">Balanced human–AI collaboration</t>
  </si>
  <si>
    <t>37.5%</t>
  </si>
  <si>
    <t xml:space="preserve">Between 20 and 29 years old</t>
  </si>
  <si>
    <t>Education</t>
  </si>
  <si>
    <t xml:space="preserve">Scrum Master</t>
  </si>
  <si>
    <t>Weekly</t>
  </si>
  <si>
    <t xml:space="preserve">1–2 hours</t>
  </si>
  <si>
    <t xml:space="preserve">Slightly Helpful</t>
  </si>
  <si>
    <t xml:space="preserve">High variability in output quality</t>
  </si>
  <si>
    <t>62.50%</t>
  </si>
  <si>
    <t xml:space="preserve">Human-led, with AI as assistants</t>
  </si>
  <si>
    <t>28.1%</t>
  </si>
  <si>
    <t xml:space="preserve">Between 30 and 39 years old</t>
  </si>
  <si>
    <t xml:space="preserve">Research, Development, and Innovation (RDI)</t>
  </si>
  <si>
    <t xml:space="preserve">QA / Tester</t>
  </si>
  <si>
    <t>Monthly</t>
  </si>
  <si>
    <t xml:space="preserve">3–4 hours</t>
  </si>
  <si>
    <t xml:space="preserve">Very Helpful</t>
  </si>
  <si>
    <t xml:space="preserve">Privacy/confidentiality concerns</t>
  </si>
  <si>
    <t xml:space="preserve">AI-led, with humans supervising</t>
  </si>
  <si>
    <t>21.9%</t>
  </si>
  <si>
    <t xml:space="preserve">Between 40 and 50 years old</t>
  </si>
  <si>
    <t>Telecommunications</t>
  </si>
  <si>
    <t xml:space="preserve">Product Owner</t>
  </si>
  <si>
    <t xml:space="preserve">Occasionally (less than once a month)</t>
  </si>
  <si>
    <t>TOTAL</t>
  </si>
  <si>
    <t xml:space="preserve">Not Applicable</t>
  </si>
  <si>
    <t xml:space="preserve">Hallucinations (confident but incorrect answers)</t>
  </si>
  <si>
    <t>59.38%</t>
  </si>
  <si>
    <t xml:space="preserve">Fully AI automated</t>
  </si>
  <si>
    <t>3.1%</t>
  </si>
  <si>
    <t xml:space="preserve">More than 50 years old</t>
  </si>
  <si>
    <t>Government</t>
  </si>
  <si>
    <t>Architect</t>
  </si>
  <si>
    <t>Never</t>
  </si>
  <si>
    <t>Neutral</t>
  </si>
  <si>
    <t xml:space="preserve">Difficulty in validating AI-generated content</t>
  </si>
  <si>
    <t>Total</t>
  </si>
  <si>
    <t xml:space="preserve">TOTAL </t>
  </si>
  <si>
    <t xml:space="preserve">Financial services</t>
  </si>
  <si>
    <t>Consultant/Trainer</t>
  </si>
  <si>
    <t xml:space="preserve">Legal/ethical uncertainties about AI use</t>
  </si>
  <si>
    <t>56.25%</t>
  </si>
  <si>
    <t xml:space="preserve">Industrial Food / Indústria Alimentícia</t>
  </si>
  <si>
    <t xml:space="preserve">Project Manager</t>
  </si>
  <si>
    <t xml:space="preserve">Difficulty adapting to project/team context</t>
  </si>
  <si>
    <t>43.75%</t>
  </si>
  <si>
    <t>Transportation</t>
  </si>
  <si>
    <t xml:space="preserve">Tech Lead</t>
  </si>
  <si>
    <t xml:space="preserve">knowledge level in LLMs</t>
  </si>
  <si>
    <t xml:space="preserve">Don’t Plan</t>
  </si>
  <si>
    <t xml:space="preserve">Plan to Partially Use</t>
  </si>
  <si>
    <t xml:space="preserve">Plan to Mostly Use</t>
  </si>
  <si>
    <t xml:space="preserve">Currently Partially</t>
  </si>
  <si>
    <t xml:space="preserve">Currently Mostly</t>
  </si>
  <si>
    <t>SM</t>
  </si>
  <si>
    <t xml:space="preserve">Lack of integration with existing tools</t>
  </si>
  <si>
    <t>Replacement</t>
  </si>
  <si>
    <t xml:space="preserve">Consumer products</t>
  </si>
  <si>
    <t xml:space="preserve">Development Manager</t>
  </si>
  <si>
    <t xml:space="preserve">Qualified – Good conceptual knowledge and practical experience</t>
  </si>
  <si>
    <t xml:space="preserve">Clarify Scrum concepts and roles</t>
  </si>
  <si>
    <t xml:space="preserve">Resistance from team members to adopt AI Chat Assistants</t>
  </si>
  <si>
    <t>28.13%</t>
  </si>
  <si>
    <t xml:space="preserve">No role replacement</t>
  </si>
  <si>
    <t>56.3%</t>
  </si>
  <si>
    <t xml:space="preserve">Professional/Regular high school</t>
  </si>
  <si>
    <t>Energy</t>
  </si>
  <si>
    <t xml:space="preserve">Agile Coach</t>
  </si>
  <si>
    <t xml:space="preserve">Proficient – In-depth conceptual understanding and extensive practical experience</t>
  </si>
  <si>
    <t xml:space="preserve">Explore practices and techniques</t>
  </si>
  <si>
    <t xml:space="preserve">I've become less confident in my own problem-solving</t>
  </si>
  <si>
    <t>25.0%</t>
  </si>
  <si>
    <t xml:space="preserve">Undergraduate (not completed)</t>
  </si>
  <si>
    <t>Outsourcing</t>
  </si>
  <si>
    <t>Instrutor</t>
  </si>
  <si>
    <t xml:space="preserve">Beginner – Occasional use, basic understanding</t>
  </si>
  <si>
    <t xml:space="preserve">Get practical resources and examples</t>
  </si>
  <si>
    <t xml:space="preserve">Over-dependence of the team on AI Chat Assistants</t>
  </si>
  <si>
    <t>21.88%</t>
  </si>
  <si>
    <t>Developers</t>
  </si>
  <si>
    <t xml:space="preserve">Undergraduate (completed)</t>
  </si>
  <si>
    <t xml:space="preserve">Emergency Response / Logistics / Offshore</t>
  </si>
  <si>
    <t xml:space="preserve">Release Train Engineer</t>
  </si>
  <si>
    <t xml:space="preserve">Specialist – Advanced conceptual knowledge, deep expertise</t>
  </si>
  <si>
    <t xml:space="preserve">Simulate conversations to create learning/practice scenarios</t>
  </si>
  <si>
    <t xml:space="preserve">No issues reported</t>
  </si>
  <si>
    <t>9.38%</t>
  </si>
  <si>
    <t>18.8%</t>
  </si>
  <si>
    <t>MBA</t>
  </si>
  <si>
    <t>Utilities</t>
  </si>
  <si>
    <t xml:space="preserve">Product Manager</t>
  </si>
  <si>
    <t xml:space="preserve">Simulate conversations to coach or mentor team members</t>
  </si>
  <si>
    <t xml:space="preserve">AI “laziness” / partial responses on large prompts</t>
  </si>
  <si>
    <t>3.13%</t>
  </si>
  <si>
    <t xml:space="preserve">Master's degree (Professional or academic)</t>
  </si>
  <si>
    <t xml:space="preserve">Consultoria em E-commerce</t>
  </si>
  <si>
    <t xml:space="preserve">Program Manager</t>
  </si>
  <si>
    <t xml:space="preserve">Other (e.g., issues creating prompts for Gemini)</t>
  </si>
  <si>
    <t xml:space="preserve">Doctorate degree (Professional or academic)</t>
  </si>
  <si>
    <t>President/CEO/COO</t>
  </si>
  <si>
    <t xml:space="preserve">LLM Tool</t>
  </si>
  <si>
    <t>Frequência</t>
  </si>
  <si>
    <t xml:space="preserve">Additional Task</t>
  </si>
  <si>
    <t>Mentions</t>
  </si>
  <si>
    <t>Dev</t>
  </si>
  <si>
    <t xml:space="preserve">ChatGPT (OpenAI)</t>
  </si>
  <si>
    <t xml:space="preserve">Suporte a eventos Scrum (retrospectivas, reuniões)</t>
  </si>
  <si>
    <t xml:space="preserve">Strongly Disagree</t>
  </si>
  <si>
    <t>Disagree</t>
  </si>
  <si>
    <t>Agree</t>
  </si>
  <si>
    <t xml:space="preserve">Strongly Agree</t>
  </si>
  <si>
    <t xml:space="preserve">Gemini (Google)</t>
  </si>
  <si>
    <t xml:space="preserve">Consultas JIRA / JQL</t>
  </si>
  <si>
    <t xml:space="preserve">Reduced understanding of processes</t>
  </si>
  <si>
    <t xml:space="preserve">1 (1.5%)</t>
  </si>
  <si>
    <t xml:space="preserve">6 (8.8%)</t>
  </si>
  <si>
    <t xml:space="preserve">5 (7.4%)</t>
  </si>
  <si>
    <t xml:space="preserve">11 (16.2%)</t>
  </si>
  <si>
    <t xml:space="preserve">9 (13.2%)</t>
  </si>
  <si>
    <t xml:space="preserve">Web Application</t>
  </si>
  <si>
    <t xml:space="preserve">Copilot Chat (Microsoft)</t>
  </si>
  <si>
    <t xml:space="preserve">Automação de testes</t>
  </si>
  <si>
    <t xml:space="preserve">Reduced accountability (difficulty assigning responsibility)</t>
  </si>
  <si>
    <t xml:space="preserve">10 (14.7%)</t>
  </si>
  <si>
    <t xml:space="preserve">Novice - Minimum or "conceptual" knowledge without relevant practical experience.</t>
  </si>
  <si>
    <t xml:space="preserve">1–10 employees</t>
  </si>
  <si>
    <t xml:space="preserve">Cross-platform application</t>
  </si>
  <si>
    <t xml:space="preserve">Claude (Anthropic)</t>
  </si>
  <si>
    <t xml:space="preserve">Planejamento e comunicação de projeto</t>
  </si>
  <si>
    <t xml:space="preserve">Reduced human connection or collaboration quality</t>
  </si>
  <si>
    <t xml:space="preserve">2 (2.9%)</t>
  </si>
  <si>
    <t xml:space="preserve">4 (5.9%)</t>
  </si>
  <si>
    <t xml:space="preserve">8 (11.8%)</t>
  </si>
  <si>
    <t xml:space="preserve">14 (20.6%)</t>
  </si>
  <si>
    <t xml:space="preserve">11–50 employees</t>
  </si>
  <si>
    <t xml:space="preserve">Stand-alone / Desktop Systems</t>
  </si>
  <si>
    <t xml:space="preserve">DeepSeek Chat</t>
  </si>
  <si>
    <t xml:space="preserve">Melhoria de documentação</t>
  </si>
  <si>
    <t xml:space="preserve">Reduced engagement of team members when delegating to AI</t>
  </si>
  <si>
    <t xml:space="preserve">Qualified - Good conceptual knowledge and practical experience.</t>
  </si>
  <si>
    <t xml:space="preserve">51–250 employees</t>
  </si>
  <si>
    <t xml:space="preserve">Mobile applications</t>
  </si>
  <si>
    <t xml:space="preserve">Perplexity AI</t>
  </si>
  <si>
    <t>“Não”</t>
  </si>
  <si>
    <t xml:space="preserve">Specialist - In-depth conceptual knowledge and deep practical understanding.</t>
  </si>
  <si>
    <t xml:space="preserve">251–500 employees</t>
  </si>
  <si>
    <t xml:space="preserve">Server-side technologies</t>
  </si>
  <si>
    <t xml:space="preserve">Internal / Proprietary AI Assistant</t>
  </si>
  <si>
    <t xml:space="preserve">Total de respostas válidas</t>
  </si>
  <si>
    <t xml:space="preserve">Proficient - In-depth advanced conceptual understanding and high practical knowledge.</t>
  </si>
  <si>
    <t xml:space="preserve">501–1000 employees</t>
  </si>
  <si>
    <t xml:space="preserve">Data analysis</t>
  </si>
  <si>
    <t xml:space="preserve">Manus / Manus AI</t>
  </si>
  <si>
    <t>Banefit</t>
  </si>
  <si>
    <t xml:space="preserve">chatbots rarely help improve the efficiency of your Scrum</t>
  </si>
  <si>
    <t xml:space="preserve">1001–2000 employees</t>
  </si>
  <si>
    <t xml:space="preserve">Embedded or automation systems</t>
  </si>
  <si>
    <t xml:space="preserve">Qwen.ai (Alibaba)</t>
  </si>
  <si>
    <t xml:space="preserve">Increased productivity</t>
  </si>
  <si>
    <t>78.1%</t>
  </si>
  <si>
    <t>No</t>
  </si>
  <si>
    <t>65.6%</t>
  </si>
  <si>
    <t xml:space="preserve">2001–5000 employees</t>
  </si>
  <si>
    <t xml:space="preserve">PROTHEUS – ADVPL</t>
  </si>
  <si>
    <t>Cursor</t>
  </si>
  <si>
    <t xml:space="preserve">Scrum Event Activity</t>
  </si>
  <si>
    <t xml:space="preserve">Improved quality of artifacts</t>
  </si>
  <si>
    <t>Yes</t>
  </si>
  <si>
    <t>34.4%</t>
  </si>
  <si>
    <t xml:space="preserve">5001–20000 employees</t>
  </si>
  <si>
    <t>Phind</t>
  </si>
  <si>
    <t xml:space="preserve">Design event agenda &amp; timeboxes</t>
  </si>
  <si>
    <t xml:space="preserve">Reduced time for repetitive tasks</t>
  </si>
  <si>
    <t>75.0%</t>
  </si>
  <si>
    <t xml:space="preserve">Over 20000 employees</t>
  </si>
  <si>
    <t>Grok</t>
  </si>
  <si>
    <t xml:space="preserve">Capture / identify action items &amp; owners</t>
  </si>
  <si>
    <t xml:space="preserve">Improved knowledge sharing and documentation</t>
  </si>
  <si>
    <t>59.4%</t>
  </si>
  <si>
    <t xml:space="preserve">No experience</t>
  </si>
  <si>
    <t xml:space="preserve">Lamma / Llama</t>
  </si>
  <si>
    <t xml:space="preserve">Identify recurring themes or impediments</t>
  </si>
  <si>
    <t xml:space="preserve">Support in decision-making</t>
  </si>
  <si>
    <t>50.0%</t>
  </si>
  <si>
    <t xml:space="preserve">Less than 3 years</t>
  </si>
  <si>
    <t>Tess</t>
  </si>
  <si>
    <t xml:space="preserve">Summarize what happened during events</t>
  </si>
  <si>
    <t xml:space="preserve">Better communication with stakeholders</t>
  </si>
  <si>
    <t>40.6%</t>
  </si>
  <si>
    <t xml:space="preserve">Between 3 and 5 years</t>
  </si>
  <si>
    <t xml:space="preserve">Summarize Sprint Review stakeholder feedback</t>
  </si>
  <si>
    <t xml:space="preserve">Enhanced creativity in problem-solving</t>
  </si>
  <si>
    <t xml:space="preserve">Between 6 and 10 years</t>
  </si>
  <si>
    <t>Finance</t>
  </si>
  <si>
    <t xml:space="preserve">Faster onboarding of new team members</t>
  </si>
  <si>
    <t xml:space="preserve">Between 11 and 15 years</t>
  </si>
  <si>
    <t xml:space="preserve">Yes, I have worked in one in the past</t>
  </si>
  <si>
    <t xml:space="preserve">Transport and Distribution</t>
  </si>
  <si>
    <t xml:space="preserve">Used Model</t>
  </si>
  <si>
    <t xml:space="preserve">Better stakeholder alignment through clearer outputs</t>
  </si>
  <si>
    <t>31.3%</t>
  </si>
  <si>
    <t xml:space="preserve">Between 16 and 20 years</t>
  </si>
  <si>
    <t xml:space="preserve">No, I have never worked in one</t>
  </si>
  <si>
    <t>Telecommunication</t>
  </si>
  <si>
    <t>GPT-4o</t>
  </si>
  <si>
    <t xml:space="preserve">Scrum Artifact</t>
  </si>
  <si>
    <t xml:space="preserve">Plan Partially</t>
  </si>
  <si>
    <t xml:space="preserve">Plan Mostly</t>
  </si>
  <si>
    <t xml:space="preserve">Increased stakeholder trust in project outputs</t>
  </si>
  <si>
    <t xml:space="preserve">More than 21 years</t>
  </si>
  <si>
    <t xml:space="preserve">Enterprise Resource Planning (ERP)</t>
  </si>
  <si>
    <t xml:space="preserve">Gemini 2.5 Pro</t>
  </si>
  <si>
    <t xml:space="preserve">Define NFRs</t>
  </si>
  <si>
    <t xml:space="preserve">Less time spent to organize the sprint planning</t>
  </si>
  <si>
    <t xml:space="preserve">Security and Defense</t>
  </si>
  <si>
    <t xml:space="preserve">Gemini 2.5 Flash</t>
  </si>
  <si>
    <t xml:space="preserve">Write PBIs</t>
  </si>
  <si>
    <t>Healthcare</t>
  </si>
  <si>
    <t>GPT-5</t>
  </si>
  <si>
    <t xml:space="preserve">Split PBIs</t>
  </si>
  <si>
    <t>Accessibility</t>
  </si>
  <si>
    <t>GPT-5o</t>
  </si>
  <si>
    <t xml:space="preserve">Evaluate PBI Quality</t>
  </si>
  <si>
    <t>Answer</t>
  </si>
  <si>
    <t xml:space="preserve">Web development</t>
  </si>
  <si>
    <t>GPT-5.1</t>
  </si>
  <si>
    <t xml:space="preserve">Improve PBI Description</t>
  </si>
  <si>
    <t xml:space="preserve">Scrum Master — Foundational (PSM I, CSM)</t>
  </si>
  <si>
    <t xml:space="preserve">GPT-4 (inclui “ChatGPT 4.0”)</t>
  </si>
  <si>
    <t xml:space="preserve">Define Acceptance Criteria</t>
  </si>
  <si>
    <t xml:space="preserve">Scrum Master — Intermediate (PSM II, A-CSM)</t>
  </si>
  <si>
    <t>Sports</t>
  </si>
  <si>
    <t xml:space="preserve">Claude 4.1</t>
  </si>
  <si>
    <t xml:space="preserve">Improve Acceptance Criteria</t>
  </si>
  <si>
    <t xml:space="preserve">Scrum Master — Advanced (PSM III, CSP-SM)</t>
  </si>
  <si>
    <t xml:space="preserve">Research and Development (R&amp;D)</t>
  </si>
  <si>
    <t xml:space="preserve">Sonnet 4.5</t>
  </si>
  <si>
    <t xml:space="preserve">Identify Dependencies</t>
  </si>
  <si>
    <t xml:space="preserve">N/A / Blank</t>
  </si>
  <si>
    <t xml:space="preserve">Developer (PSD, CSD, A-CSD, CSP-D)</t>
  </si>
  <si>
    <t xml:space="preserve">Serviço público</t>
  </si>
  <si>
    <t xml:space="preserve">Sonnet 4.0</t>
  </si>
  <si>
    <t xml:space="preserve">Estimate Effort/Size</t>
  </si>
  <si>
    <t xml:space="preserve">1) AI chat assistants help me perform Scrum management tasks more efficiently.</t>
  </si>
  <si>
    <t xml:space="preserve">Product Owner — Foundational (PSPO I, CSPO)</t>
  </si>
  <si>
    <t xml:space="preserve">Retail and distribution</t>
  </si>
  <si>
    <t xml:space="preserve">Gemini Pro</t>
  </si>
  <si>
    <t xml:space="preserve">Estimate Value</t>
  </si>
  <si>
    <t xml:space="preserve">2) AI chat assistants help reduce cognitive load in repetitive management tasks.</t>
  </si>
  <si>
    <t xml:space="preserve">Product Owner — Intermediate (PSPO II)</t>
  </si>
  <si>
    <t>NOTHING</t>
  </si>
  <si>
    <t xml:space="preserve">llama 3.1</t>
  </si>
  <si>
    <t xml:space="preserve">Define Product Goal</t>
  </si>
  <si>
    <t xml:space="preserve">3) AI chat assistants improve collaboration between Agile roles (PO, SM, Dev, QA).</t>
  </si>
  <si>
    <t>Nenhuma</t>
  </si>
  <si>
    <t>Qwen3-Max</t>
  </si>
  <si>
    <t xml:space="preserve">Evaluate Product Goal</t>
  </si>
  <si>
    <t xml:space="preserve">4) AI chat assistants improve overall team performance.</t>
  </si>
  <si>
    <t xml:space="preserve">Manus 1.5</t>
  </si>
  <si>
    <t xml:space="preserve">Improve Product Goal</t>
  </si>
  <si>
    <t xml:space="preserve">5) AI chat assistants increase transparency and traceability in Agile processes.</t>
  </si>
  <si>
    <t xml:space="preserve">Between 1 and 5 members</t>
  </si>
  <si>
    <t xml:space="preserve">Manus 1.5 Lite</t>
  </si>
  <si>
    <t xml:space="preserve">Define Definition of Done</t>
  </si>
  <si>
    <t xml:space="preserve">Between 6 and 10 members</t>
  </si>
  <si>
    <t xml:space="preserve">Copilot 365</t>
  </si>
  <si>
    <t xml:space="preserve">Improve Definition of Done</t>
  </si>
  <si>
    <t xml:space="preserve">Between 11 and 20 members</t>
  </si>
  <si>
    <t xml:space="preserve">Define Sprint Goal</t>
  </si>
  <si>
    <t xml:space="preserve">Kanban (PSK, APK)</t>
  </si>
  <si>
    <t xml:space="preserve">Between 21 and 40 members</t>
  </si>
  <si>
    <t xml:space="preserve">Evaluate Sprint Goal</t>
  </si>
  <si>
    <t xml:space="preserve">Scaled frameworks (SAFe, CASP, SPS)</t>
  </si>
  <si>
    <t xml:space="preserve">More than 40 members</t>
  </si>
  <si>
    <t xml:space="preserve">Improve Sprint Goal</t>
  </si>
  <si>
    <t xml:space="preserve">Agile Facilitation / Coaching / Leadership</t>
  </si>
  <si>
    <t xml:space="preserve">Interation with LLM</t>
  </si>
  <si>
    <t xml:space="preserve">Define Technical Tasks</t>
  </si>
  <si>
    <t>PMI-ACP</t>
  </si>
  <si>
    <t xml:space="preserve">Text (typing / copy-pasting prompts)</t>
  </si>
  <si>
    <t xml:space="preserve">Estimate Task Effort/Size</t>
  </si>
  <si>
    <t xml:space="preserve">Nenhuma certificação</t>
  </si>
  <si>
    <t xml:space="preserve">Files or documents (PDFs, code, etc.)</t>
  </si>
  <si>
    <t xml:space="preserve">Images or screenshots</t>
  </si>
  <si>
    <t xml:space="preserve">Less than 1 year</t>
  </si>
  <si>
    <t xml:space="preserve">Technical implementation tasks (e.g., debugging code, tests, scripts, IaC, APIs, refactoring)</t>
  </si>
  <si>
    <t xml:space="preserve">Affected Artifacts</t>
  </si>
  <si>
    <t xml:space="preserve">Prompt </t>
  </si>
  <si>
    <t xml:space="preserve">Between 1 and less than 3 years</t>
  </si>
  <si>
    <t xml:space="preserve">Voice (speaking / dictation)</t>
  </si>
  <si>
    <t xml:space="preserve">Casos de teste &amp; QA</t>
  </si>
  <si>
    <t xml:space="preserve">Casos de teste manuais, BDD, critérios de aceite</t>
  </si>
  <si>
    <t xml:space="preserve">“Gere casos de teste a partir de JSON / requisitos…”, “Você é um especialista em QA…”</t>
  </si>
  <si>
    <t xml:space="preserve">Between 3 and less than 5 years</t>
  </si>
  <si>
    <t xml:space="preserve">Clarificação de tarefas &amp; estimativas</t>
  </si>
  <si>
    <t xml:space="preserve">Tasks do Sprint Backlog, épicos, PBIs</t>
  </si>
  <si>
    <t xml:space="preserve">“Help clarify tasks and estimate time…”, “Break task into subtasks with AC…”</t>
  </si>
  <si>
    <t xml:space="preserve">Between 5 and less than 10 years</t>
  </si>
  <si>
    <t xml:space="preserve">Análise de Sprint &amp; critérios</t>
  </si>
  <si>
    <t xml:space="preserve">Product Backlog, Sprint Backlog, critérios de aceite</t>
  </si>
  <si>
    <t xml:space="preserve">Prompts para análise crítica, reformulação SMART, feedback estruturado</t>
  </si>
  <si>
    <t xml:space="preserve">More than 10 years</t>
  </si>
  <si>
    <t xml:space="preserve">Apoio técnico ligado ao backlog</t>
  </si>
  <si>
    <t xml:space="preserve">Sprint backlog técnico, tasks de CI/CD</t>
  </si>
  <si>
    <t xml:space="preserve">Ex.: CI/CD com PlatformIO para ESP32, sugestão de plataformas</t>
  </si>
  <si>
    <t xml:space="preserve">NO, there is no policy or guideline.</t>
  </si>
  <si>
    <t xml:space="preserve">Metaprompt / engenharia de prompt</t>
  </si>
  <si>
    <t xml:space="preserve">Prompts usados em outras ferramentas (Gemini)</t>
  </si>
  <si>
    <t xml:space="preserve">ChatGPT para escrever prompts melhores, depois usados no Gemini</t>
  </si>
  <si>
    <t xml:space="preserve">YES, there is a formal and documented policy.</t>
  </si>
  <si>
    <t xml:space="preserve">YES, but the policy is informal or not widely documented.</t>
  </si>
  <si>
    <t xml:space="preserve">AI Chat USE in last months</t>
  </si>
  <si>
    <t xml:space="preserve">NO, but discussions about creating one are in progress.</t>
  </si>
  <si>
    <t>Task</t>
  </si>
  <si>
    <t xml:space="preserve">I don't know / Not sure.</t>
  </si>
  <si>
    <t xml:space="preserve">Define possible impediment mitigation options</t>
  </si>
  <si>
    <t xml:space="preserve">Summarize impediment data (e.g., count, status, owner, resolution progress) into a concise report.</t>
  </si>
  <si>
    <t xml:space="preserve">Evaluate the quality of a product roadmap</t>
  </si>
  <si>
    <t xml:space="preserve">Improve the product roadmap</t>
  </si>
  <si>
    <t xml:space="preserve">INFORMALLY (without a prescribed process for carrying out the activity).</t>
  </si>
  <si>
    <t xml:space="preserve">Summarize the product roadmap for stakeholders</t>
  </si>
  <si>
    <t xml:space="preserve">FORMALLY (with a prescribed process)</t>
  </si>
  <si>
    <t xml:space="preserve">Describe the product vision</t>
  </si>
  <si>
    <t xml:space="preserve">I don't use LLM in Scrum-based activities</t>
  </si>
  <si>
    <t xml:space="preserve">Improve the product vision</t>
  </si>
  <si>
    <t xml:space="preserve">Identify project/product risks</t>
  </si>
  <si>
    <t xml:space="preserve">Identify possible mitigation strategies for risk items</t>
  </si>
  <si>
    <t xml:space="preserve">Summarize key risks for stakeholders</t>
  </si>
  <si>
    <t xml:space="preserve">Interpret burndown, burnup, or CFD charts</t>
  </si>
  <si>
    <t xml:space="preserve">Define corrective actions (metrics-based)</t>
  </si>
  <si>
    <t xml:space="preserve">Summarize Sprint or release progress</t>
  </si>
  <si>
    <t xml:space="preserve">Define the team working agreement</t>
  </si>
  <si>
    <t xml:space="preserve">Improve the team working agreements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</si>
</sst>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4CCCC"/>
        <bgColor rgb="FFF4CCCC"/>
      </patternFill>
    </fill>
    <fill>
      <patternFill patternType="solid">
        <fgColor indexed="65"/>
        <bgColor indexed="65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0" fillId="0" borderId="0" numFmtId="0" xfId="0">
      <protection hidden="0" locked="1"/>
    </xf>
    <xf fontId="1" fillId="0" borderId="0" numFmtId="4" xfId="0" applyNumberFormat="1" applyFont="1"/>
    <xf fontId="1" fillId="0" borderId="0" numFmtId="4" xfId="0" applyNumberFormat="1" applyFont="1" applyAlignment="1">
      <alignment horizontal="center"/>
    </xf>
    <xf fontId="2" fillId="2" borderId="0" numFmtId="0" xfId="0" applyFont="1" applyFill="1" applyAlignment="1">
      <alignment horizontal="center"/>
    </xf>
    <xf fontId="2" fillId="2" borderId="0" numFmtId="4" xfId="0" applyNumberFormat="1" applyFont="1" applyFill="1" applyAlignment="1">
      <alignment horizontal="center"/>
    </xf>
    <xf fontId="2" fillId="2" borderId="0" numFmtId="0" xfId="0" applyFont="1" applyFill="1"/>
    <xf fontId="2" fillId="2" borderId="0" numFmtId="4" xfId="0" applyNumberFormat="1" applyFont="1" applyFill="1"/>
    <xf fontId="0" fillId="0" borderId="1" numFmtId="0" xfId="0" applyBorder="1">
      <protection hidden="0" locked="1"/>
    </xf>
    <xf fontId="1" fillId="0" borderId="1" numFmtId="4" xfId="0" applyNumberFormat="1" applyFont="1" applyBorder="1"/>
    <xf fontId="1" fillId="0" borderId="1" numFmtId="4" xfId="0" applyNumberFormat="1" applyFont="1" applyBorder="1" applyAlignment="1">
      <alignment horizontal="center"/>
    </xf>
    <xf fontId="0" fillId="0" borderId="2" numFmtId="0" xfId="0" applyBorder="1">
      <protection hidden="0" locked="1"/>
    </xf>
    <xf fontId="2" fillId="0" borderId="3" numFmtId="0" xfId="0" applyFont="1" applyBorder="1" applyAlignment="1">
      <alignment horizontal="center"/>
    </xf>
    <xf fontId="1" fillId="0" borderId="3" numFmtId="4" xfId="0" applyNumberFormat="1" applyFont="1" applyBorder="1"/>
    <xf fontId="0" fillId="0" borderId="4" numFmtId="0" xfId="0" applyBorder="1">
      <protection hidden="0" locked="1"/>
    </xf>
    <xf fontId="2" fillId="0" borderId="3" numFmtId="4" xfId="0" applyNumberFormat="1" applyFont="1" applyBorder="1" applyAlignment="1">
      <alignment horizontal="center"/>
    </xf>
    <xf fontId="3" fillId="0" borderId="3" numFmtId="0" xfId="0" applyFont="1" applyBorder="1" applyAlignment="1">
      <alignment horizontal="center"/>
    </xf>
    <xf fontId="3" fillId="0" borderId="3" numFmtId="4" xfId="0" applyNumberFormat="1" applyFont="1" applyBorder="1" applyAlignment="1">
      <alignment horizontal="center"/>
    </xf>
    <xf fontId="1" fillId="0" borderId="3" numFmtId="0" xfId="0" applyFont="1" applyBorder="1"/>
    <xf fontId="1" fillId="0" borderId="3" numFmtId="4" xfId="0" applyNumberFormat="1" applyFont="1" applyBorder="1" applyAlignment="1">
      <alignment horizontal="center"/>
    </xf>
    <xf fontId="1" fillId="0" borderId="3" numFmtId="0" xfId="0" applyFont="1" applyBorder="1" applyAlignment="1">
      <alignment horizontal="right"/>
    </xf>
    <xf fontId="1" fillId="0" borderId="3" numFmtId="10" xfId="0" applyNumberFormat="1" applyFont="1" applyBorder="1" applyAlignment="1">
      <alignment horizontal="right"/>
    </xf>
    <xf fontId="1" fillId="0" borderId="3" numFmtId="9" xfId="0" applyNumberFormat="1" applyFont="1" applyBorder="1"/>
    <xf fontId="0" fillId="0" borderId="5" numFmtId="0" xfId="0" applyBorder="1">
      <protection hidden="0" locked="1"/>
    </xf>
    <xf fontId="1" fillId="0" borderId="5" numFmtId="4" xfId="0" applyNumberFormat="1" applyFont="1" applyBorder="1"/>
    <xf fontId="1" fillId="0" borderId="3" numFmtId="9" xfId="0" applyNumberFormat="1" applyFont="1" applyBorder="1" applyAlignment="1">
      <alignment horizontal="right"/>
    </xf>
    <xf fontId="1" fillId="0" borderId="5" numFmtId="4" xfId="0" applyNumberFormat="1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2" fillId="3" borderId="3" numFmtId="0" xfId="0" applyFont="1" applyFill="1" applyBorder="1"/>
    <xf fontId="1" fillId="3" borderId="3" numFmtId="4" xfId="0" applyNumberFormat="1" applyFont="1" applyFill="1" applyBorder="1"/>
    <xf fontId="1" fillId="3" borderId="3" numFmtId="0" xfId="0" applyFont="1" applyFill="1" applyBorder="1"/>
    <xf fontId="2" fillId="0" borderId="0" numFmtId="0" xfId="0" applyFont="1" applyAlignment="1">
      <alignment horizontal="center"/>
    </xf>
    <xf fontId="1" fillId="0" borderId="0" numFmtId="0" xfId="0" applyFont="1"/>
    <xf fontId="2" fillId="0" borderId="3" numFmtId="0" xfId="0" applyFont="1" applyBorder="1" applyAlignment="1">
      <alignment horizontal="right"/>
    </xf>
    <xf fontId="1" fillId="3" borderId="3" numFmtId="4" xfId="0" applyNumberFormat="1" applyFont="1" applyFill="1" applyBorder="1" applyAlignment="1">
      <alignment horizontal="center"/>
    </xf>
    <xf fontId="2" fillId="4" borderId="3" numFmtId="0" xfId="0" applyFont="1" applyFill="1" applyBorder="1" applyAlignment="1">
      <alignment horizontal="center"/>
    </xf>
    <xf fontId="1" fillId="4" borderId="3" numFmtId="0" xfId="0" applyFont="1" applyFill="1" applyBorder="1"/>
    <xf fontId="1" fillId="4" borderId="3" numFmt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56" zoomScale="100" workbookViewId="0">
      <selection activeCell="A1" activeCellId="0" sqref="A1"/>
    </sheetView>
  </sheetViews>
  <sheetFormatPr defaultRowHeight="14.25"/>
  <cols>
    <col customWidth="1" min="1" max="1" width="5"/>
    <col customWidth="1" min="2" max="2" width="25.75"/>
    <col customWidth="1" min="3" max="3" width="9.140625"/>
    <col customWidth="1" min="4" max="5" width="6.8799999999999999"/>
    <col customWidth="1" min="6" max="6" width="35.880000000000003"/>
    <col customWidth="1" min="7" max="8" width="9.1300000000000008"/>
    <col customWidth="1" min="9" max="9" width="7.25"/>
    <col customWidth="1" min="10" max="10" width="28.5"/>
    <col customWidth="1" min="11" max="11" width="10.630000000000001"/>
    <col customWidth="1" min="12" max="12" width="8.25"/>
    <col customWidth="1" min="13" max="13" width="6.6299999999999999"/>
    <col customWidth="1" min="14" max="14" width="30"/>
    <col customWidth="1" min="15" max="16" width="10.630000000000001"/>
    <col customWidth="1" min="17" max="17" width="7.1299999999999999"/>
    <col customWidth="1" min="18" max="18" width="30.129999999999999"/>
    <col customWidth="1" min="19" max="23" width="9.140625"/>
    <col customWidth="1" min="24" max="24" width="7.5"/>
    <col customWidth="1" min="25" max="25" width="22.75"/>
    <col customWidth="1" min="26" max="26" width="11.25"/>
    <col customWidth="1" min="27" max="30" width="9.140625"/>
    <col customWidth="1" min="31" max="31" width="9.3800000000000008"/>
    <col customWidth="1" min="32" max="32" width="9.75"/>
    <col customWidth="1" min="33" max="33" width="23.5"/>
    <col customWidth="1" min="34" max="34" width="10.880000000000001"/>
    <col customWidth="1" min="35" max="39" width="9.140625"/>
    <col customWidth="1" min="40" max="40" width="23.75"/>
    <col customWidth="1" min="41" max="44" width="9.140625"/>
  </cols>
  <sheetData>
    <row r="1" ht="14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4.25">
      <c r="A2" s="1"/>
      <c r="B2" s="4" t="s">
        <v>0</v>
      </c>
      <c r="C2" s="4"/>
      <c r="D2" s="4"/>
      <c r="E2" s="1"/>
      <c r="F2" s="4" t="s">
        <v>1</v>
      </c>
      <c r="G2" s="4"/>
      <c r="H2" s="4"/>
      <c r="I2" s="1"/>
      <c r="J2" s="4" t="s">
        <v>2</v>
      </c>
      <c r="K2" s="4"/>
      <c r="L2" s="5"/>
      <c r="M2" s="1"/>
      <c r="N2" s="6" t="s">
        <v>3</v>
      </c>
      <c r="O2" s="6"/>
      <c r="P2" s="7"/>
      <c r="Q2" s="1"/>
      <c r="R2" s="6" t="s">
        <v>4</v>
      </c>
      <c r="S2" s="6"/>
      <c r="T2" s="6"/>
      <c r="U2" s="6"/>
      <c r="V2" s="1"/>
      <c r="W2" s="1"/>
      <c r="X2" s="1"/>
      <c r="Y2" s="6" t="s">
        <v>5</v>
      </c>
      <c r="Z2" s="6"/>
      <c r="AA2" s="6"/>
      <c r="AB2" s="6"/>
      <c r="AC2" s="6"/>
      <c r="AD2" s="1"/>
      <c r="AE2" s="1"/>
      <c r="AF2" s="1"/>
      <c r="AG2" s="6" t="s">
        <v>6</v>
      </c>
      <c r="AH2" s="6"/>
      <c r="AI2" s="6"/>
      <c r="AJ2" s="6"/>
      <c r="AK2" s="1"/>
      <c r="AL2" s="1"/>
      <c r="AM2" s="1"/>
      <c r="AN2" s="6" t="s">
        <v>7</v>
      </c>
      <c r="AO2" s="6"/>
      <c r="AP2" s="6"/>
      <c r="AQ2" s="6"/>
      <c r="AR2" s="1"/>
    </row>
    <row r="3" ht="14.25">
      <c r="A3" s="1"/>
      <c r="B3" s="8"/>
      <c r="C3" s="8"/>
      <c r="D3" s="9"/>
      <c r="E3" s="1"/>
      <c r="F3" s="8"/>
      <c r="G3" s="8"/>
      <c r="H3" s="8"/>
      <c r="I3" s="1"/>
      <c r="J3" s="8"/>
      <c r="K3" s="8"/>
      <c r="L3" s="10"/>
      <c r="M3" s="1"/>
      <c r="N3" s="8"/>
      <c r="O3" s="8"/>
      <c r="P3" s="9"/>
      <c r="Q3" s="1"/>
      <c r="R3" s="8"/>
      <c r="S3" s="8"/>
      <c r="T3" s="8"/>
      <c r="U3" s="1"/>
      <c r="V3" s="1"/>
      <c r="W3" s="1"/>
      <c r="X3" s="1"/>
      <c r="Y3" s="8"/>
      <c r="Z3" s="8"/>
      <c r="AA3" s="8"/>
      <c r="AB3" s="1"/>
      <c r="AC3" s="1"/>
      <c r="AD3" s="1"/>
      <c r="AE3" s="1"/>
      <c r="AF3" s="1"/>
      <c r="AG3" s="8"/>
      <c r="AH3" s="8"/>
      <c r="AI3" s="8"/>
      <c r="AJ3" s="1"/>
      <c r="AK3" s="1"/>
      <c r="AL3" s="1"/>
      <c r="AM3" s="1"/>
      <c r="AN3" s="8"/>
      <c r="AO3" s="8"/>
      <c r="AP3" s="8"/>
      <c r="AQ3" s="1"/>
      <c r="AR3" s="1"/>
    </row>
    <row r="4" ht="14.25">
      <c r="A4" s="11"/>
      <c r="B4" s="12" t="s">
        <v>8</v>
      </c>
      <c r="C4" s="12" t="s">
        <v>9</v>
      </c>
      <c r="D4" s="13" t="s">
        <v>10</v>
      </c>
      <c r="E4" s="14"/>
      <c r="F4" s="12" t="s">
        <v>8</v>
      </c>
      <c r="G4" s="12" t="s">
        <v>9</v>
      </c>
      <c r="H4" s="15" t="s">
        <v>10</v>
      </c>
      <c r="I4" s="14"/>
      <c r="J4" s="16" t="s">
        <v>8</v>
      </c>
      <c r="K4" s="16" t="s">
        <v>9</v>
      </c>
      <c r="L4" s="17" t="s">
        <v>10</v>
      </c>
      <c r="M4" s="14"/>
      <c r="N4" s="12" t="s">
        <v>11</v>
      </c>
      <c r="O4" s="16" t="s">
        <v>9</v>
      </c>
      <c r="P4" s="17" t="s">
        <v>10</v>
      </c>
      <c r="Q4" s="14"/>
      <c r="R4" s="16" t="s">
        <v>8</v>
      </c>
      <c r="S4" s="16" t="s">
        <v>9</v>
      </c>
      <c r="T4" s="17" t="s">
        <v>10</v>
      </c>
      <c r="U4" s="1"/>
      <c r="V4" s="1"/>
      <c r="W4" s="1"/>
      <c r="X4" s="11"/>
      <c r="Y4" s="12" t="s">
        <v>12</v>
      </c>
      <c r="Z4" s="16" t="s">
        <v>9</v>
      </c>
      <c r="AA4" s="17" t="s">
        <v>10</v>
      </c>
      <c r="AB4" s="1"/>
      <c r="AC4" s="1"/>
      <c r="AD4" s="1"/>
      <c r="AE4" s="1"/>
      <c r="AF4" s="11"/>
      <c r="AG4" s="12" t="s">
        <v>13</v>
      </c>
      <c r="AH4" s="16" t="s">
        <v>9</v>
      </c>
      <c r="AI4" s="17" t="s">
        <v>10</v>
      </c>
      <c r="AJ4" s="1"/>
      <c r="AK4" s="1"/>
      <c r="AL4" s="1"/>
      <c r="AM4" s="11"/>
      <c r="AN4" s="12" t="s">
        <v>14</v>
      </c>
      <c r="AO4" s="16" t="s">
        <v>9</v>
      </c>
      <c r="AP4" s="17" t="s">
        <v>10</v>
      </c>
      <c r="AQ4" s="1"/>
      <c r="AR4" s="1"/>
    </row>
    <row r="5" ht="14.25">
      <c r="A5" s="11"/>
      <c r="B5" s="18" t="s">
        <v>15</v>
      </c>
      <c r="C5" s="18">
        <v>0</v>
      </c>
      <c r="D5" s="13">
        <f t="shared" ref="D5:D9" si="0">(C5/70)*100</f>
        <v>0</v>
      </c>
      <c r="E5" s="14"/>
      <c r="F5" s="18" t="s">
        <v>16</v>
      </c>
      <c r="G5" s="18">
        <v>14</v>
      </c>
      <c r="H5" s="13">
        <f t="shared" ref="H5:H9" si="1">(G5/56)*100</f>
        <v>25</v>
      </c>
      <c r="I5" s="14"/>
      <c r="J5" s="18" t="s">
        <v>17</v>
      </c>
      <c r="K5" s="18">
        <v>23</v>
      </c>
      <c r="L5" s="19">
        <f t="shared" ref="L5:L9" si="2">(K5/49)*100</f>
        <v>46.938775510204081</v>
      </c>
      <c r="M5" s="14"/>
      <c r="N5" s="18" t="s">
        <v>18</v>
      </c>
      <c r="O5" s="18">
        <v>15</v>
      </c>
      <c r="P5" s="13">
        <f t="shared" ref="P5:P9" si="3">(O5/33)*100</f>
        <v>45.454545454545453</v>
      </c>
      <c r="Q5" s="14"/>
      <c r="R5" s="18" t="s">
        <v>19</v>
      </c>
      <c r="S5" s="18">
        <v>15</v>
      </c>
      <c r="T5" s="13">
        <f t="shared" ref="T5:T8" si="4">(S5/32)*100</f>
        <v>46.875</v>
      </c>
      <c r="U5" s="1"/>
      <c r="V5" s="1"/>
      <c r="W5" s="1"/>
      <c r="X5" s="11"/>
      <c r="Y5" s="18" t="s">
        <v>20</v>
      </c>
      <c r="Z5" s="20">
        <v>9</v>
      </c>
      <c r="AA5" s="21">
        <v>0.28100000000000003</v>
      </c>
      <c r="AB5" s="1"/>
      <c r="AC5" s="1"/>
      <c r="AD5" s="1"/>
      <c r="AE5" s="1"/>
      <c r="AF5" s="11"/>
      <c r="AG5" s="18" t="s">
        <v>21</v>
      </c>
      <c r="AH5" s="18">
        <v>26</v>
      </c>
      <c r="AI5" s="18" t="s">
        <v>22</v>
      </c>
      <c r="AJ5" s="1"/>
      <c r="AK5" s="1"/>
      <c r="AL5" s="1"/>
      <c r="AM5" s="11"/>
      <c r="AN5" s="18" t="s">
        <v>23</v>
      </c>
      <c r="AO5" s="18">
        <v>12</v>
      </c>
      <c r="AP5" s="18" t="s">
        <v>24</v>
      </c>
      <c r="AQ5" s="1"/>
      <c r="AR5" s="1"/>
    </row>
    <row r="6" ht="14.25">
      <c r="A6" s="11"/>
      <c r="B6" s="18" t="s">
        <v>25</v>
      </c>
      <c r="C6" s="18">
        <v>38</v>
      </c>
      <c r="D6" s="13">
        <f t="shared" si="0"/>
        <v>54.285714285714285</v>
      </c>
      <c r="E6" s="14"/>
      <c r="F6" s="18" t="s">
        <v>26</v>
      </c>
      <c r="G6" s="18">
        <v>10</v>
      </c>
      <c r="H6" s="13">
        <f t="shared" si="1"/>
        <v>17.857142857142858</v>
      </c>
      <c r="I6" s="14"/>
      <c r="J6" s="18" t="s">
        <v>27</v>
      </c>
      <c r="K6" s="18">
        <v>6</v>
      </c>
      <c r="L6" s="19">
        <f t="shared" si="2"/>
        <v>12.244897959183673</v>
      </c>
      <c r="M6" s="14"/>
      <c r="N6" s="18" t="s">
        <v>28</v>
      </c>
      <c r="O6" s="18">
        <v>7</v>
      </c>
      <c r="P6" s="13">
        <f t="shared" si="3"/>
        <v>21.212121212121211</v>
      </c>
      <c r="Q6" s="14"/>
      <c r="R6" s="18" t="s">
        <v>29</v>
      </c>
      <c r="S6" s="18">
        <v>16</v>
      </c>
      <c r="T6" s="13">
        <f t="shared" si="4"/>
        <v>50</v>
      </c>
      <c r="U6" s="1"/>
      <c r="V6" s="1"/>
      <c r="W6" s="1"/>
      <c r="X6" s="11"/>
      <c r="Y6" s="18" t="s">
        <v>30</v>
      </c>
      <c r="Z6" s="20">
        <v>3</v>
      </c>
      <c r="AA6" s="21">
        <v>0.094</v>
      </c>
      <c r="AB6" s="1"/>
      <c r="AC6" s="1"/>
      <c r="AD6" s="1"/>
      <c r="AE6" s="1"/>
      <c r="AF6" s="11"/>
      <c r="AG6" s="18" t="s">
        <v>31</v>
      </c>
      <c r="AH6" s="18">
        <v>20</v>
      </c>
      <c r="AI6" s="18" t="s">
        <v>32</v>
      </c>
      <c r="AJ6" s="1"/>
      <c r="AK6" s="1"/>
      <c r="AL6" s="1"/>
      <c r="AM6" s="11"/>
      <c r="AN6" s="18" t="s">
        <v>33</v>
      </c>
      <c r="AO6" s="18">
        <v>9</v>
      </c>
      <c r="AP6" s="18" t="s">
        <v>34</v>
      </c>
      <c r="AQ6" s="1"/>
      <c r="AR6" s="1"/>
    </row>
    <row r="7" ht="14.25">
      <c r="A7" s="11"/>
      <c r="B7" s="18" t="s">
        <v>35</v>
      </c>
      <c r="C7" s="18">
        <v>20</v>
      </c>
      <c r="D7" s="13">
        <f t="shared" si="0"/>
        <v>28.571428571428569</v>
      </c>
      <c r="E7" s="14"/>
      <c r="F7" s="18" t="s">
        <v>36</v>
      </c>
      <c r="G7" s="18">
        <v>9</v>
      </c>
      <c r="H7" s="13">
        <f t="shared" si="1"/>
        <v>16.071428571428573</v>
      </c>
      <c r="I7" s="14"/>
      <c r="J7" s="18" t="s">
        <v>37</v>
      </c>
      <c r="K7" s="18">
        <v>4</v>
      </c>
      <c r="L7" s="19">
        <f t="shared" si="2"/>
        <v>8.1632653061224492</v>
      </c>
      <c r="M7" s="14"/>
      <c r="N7" s="18" t="s">
        <v>38</v>
      </c>
      <c r="O7" s="18">
        <v>3</v>
      </c>
      <c r="P7" s="13">
        <f t="shared" si="3"/>
        <v>9.0909090909090917</v>
      </c>
      <c r="Q7" s="14"/>
      <c r="R7" s="18" t="s">
        <v>39</v>
      </c>
      <c r="S7" s="18">
        <v>1</v>
      </c>
      <c r="T7" s="13">
        <f t="shared" si="4"/>
        <v>3.125</v>
      </c>
      <c r="U7" s="1"/>
      <c r="V7" s="1"/>
      <c r="W7" s="1"/>
      <c r="X7" s="11"/>
      <c r="Y7" s="18" t="s">
        <v>40</v>
      </c>
      <c r="Z7" s="20">
        <v>7</v>
      </c>
      <c r="AA7" s="21">
        <v>0.219</v>
      </c>
      <c r="AB7" s="1"/>
      <c r="AC7" s="1"/>
      <c r="AD7" s="1"/>
      <c r="AE7" s="1"/>
      <c r="AF7" s="11"/>
      <c r="AG7" s="18" t="s">
        <v>41</v>
      </c>
      <c r="AH7" s="18">
        <v>20</v>
      </c>
      <c r="AI7" s="18" t="s">
        <v>32</v>
      </c>
      <c r="AJ7" s="1"/>
      <c r="AK7" s="1"/>
      <c r="AL7" s="1"/>
      <c r="AM7" s="11"/>
      <c r="AN7" s="18" t="s">
        <v>42</v>
      </c>
      <c r="AO7" s="18">
        <v>7</v>
      </c>
      <c r="AP7" s="18" t="s">
        <v>43</v>
      </c>
      <c r="AQ7" s="1"/>
      <c r="AR7" s="1"/>
    </row>
    <row r="8" ht="14.25">
      <c r="A8" s="11"/>
      <c r="B8" s="18" t="s">
        <v>44</v>
      </c>
      <c r="C8" s="18">
        <v>10</v>
      </c>
      <c r="D8" s="13">
        <f t="shared" si="0"/>
        <v>14.285714285714285</v>
      </c>
      <c r="E8" s="14"/>
      <c r="F8" s="18" t="s">
        <v>45</v>
      </c>
      <c r="G8" s="18">
        <v>7</v>
      </c>
      <c r="H8" s="13">
        <f t="shared" si="1"/>
        <v>12.5</v>
      </c>
      <c r="I8" s="14"/>
      <c r="J8" s="18" t="s">
        <v>46</v>
      </c>
      <c r="K8" s="18">
        <v>3</v>
      </c>
      <c r="L8" s="19">
        <f t="shared" si="2"/>
        <v>6.1224489795918364</v>
      </c>
      <c r="M8" s="14"/>
      <c r="N8" s="18" t="s">
        <v>47</v>
      </c>
      <c r="O8" s="18">
        <v>7</v>
      </c>
      <c r="P8" s="13">
        <f t="shared" si="3"/>
        <v>21.212121212121211</v>
      </c>
      <c r="Q8" s="14"/>
      <c r="R8" s="18" t="s">
        <v>48</v>
      </c>
      <c r="S8" s="18">
        <v>32</v>
      </c>
      <c r="T8" s="13">
        <f t="shared" si="4"/>
        <v>100</v>
      </c>
      <c r="U8" s="1"/>
      <c r="V8" s="1"/>
      <c r="W8" s="1"/>
      <c r="X8" s="11"/>
      <c r="Y8" s="18" t="s">
        <v>49</v>
      </c>
      <c r="Z8" s="20">
        <v>8</v>
      </c>
      <c r="AA8" s="21">
        <v>0.25</v>
      </c>
      <c r="AB8" s="1"/>
      <c r="AC8" s="1"/>
      <c r="AD8" s="1"/>
      <c r="AE8" s="1"/>
      <c r="AF8" s="11"/>
      <c r="AG8" s="18" t="s">
        <v>50</v>
      </c>
      <c r="AH8" s="18">
        <v>19</v>
      </c>
      <c r="AI8" s="18" t="s">
        <v>51</v>
      </c>
      <c r="AJ8" s="1"/>
      <c r="AK8" s="1"/>
      <c r="AL8" s="1"/>
      <c r="AM8" s="11"/>
      <c r="AN8" s="18" t="s">
        <v>52</v>
      </c>
      <c r="AO8" s="18">
        <v>1</v>
      </c>
      <c r="AP8" s="18" t="s">
        <v>53</v>
      </c>
      <c r="AQ8" s="1"/>
      <c r="AR8" s="1"/>
    </row>
    <row r="9" ht="14.25">
      <c r="A9" s="11"/>
      <c r="B9" s="18" t="s">
        <v>54</v>
      </c>
      <c r="C9" s="18">
        <v>2</v>
      </c>
      <c r="D9" s="13">
        <f t="shared" si="0"/>
        <v>2.8571428571428572</v>
      </c>
      <c r="E9" s="14"/>
      <c r="F9" s="18" t="s">
        <v>55</v>
      </c>
      <c r="G9" s="18">
        <v>4</v>
      </c>
      <c r="H9" s="13">
        <f t="shared" si="1"/>
        <v>7.1428571428571423</v>
      </c>
      <c r="I9" s="14"/>
      <c r="J9" s="18" t="s">
        <v>56</v>
      </c>
      <c r="K9" s="18">
        <v>2</v>
      </c>
      <c r="L9" s="19">
        <f t="shared" si="2"/>
        <v>4.0816326530612246</v>
      </c>
      <c r="M9" s="14"/>
      <c r="N9" s="18" t="s">
        <v>57</v>
      </c>
      <c r="O9" s="18">
        <v>1</v>
      </c>
      <c r="P9" s="13">
        <f t="shared" si="3"/>
        <v>3.0303030303030303</v>
      </c>
      <c r="Q9" s="1"/>
      <c r="R9" s="1"/>
      <c r="S9" s="1"/>
      <c r="T9" s="1"/>
      <c r="U9" s="1"/>
      <c r="V9" s="1"/>
      <c r="W9" s="1"/>
      <c r="X9" s="11"/>
      <c r="Y9" s="18" t="s">
        <v>58</v>
      </c>
      <c r="Z9" s="20">
        <v>5</v>
      </c>
      <c r="AA9" s="21">
        <v>0.156</v>
      </c>
      <c r="AB9" s="1"/>
      <c r="AC9" s="1"/>
      <c r="AD9" s="1"/>
      <c r="AE9" s="1"/>
      <c r="AF9" s="11"/>
      <c r="AG9" s="18" t="s">
        <v>59</v>
      </c>
      <c r="AH9" s="18">
        <v>19</v>
      </c>
      <c r="AI9" s="18" t="s">
        <v>51</v>
      </c>
      <c r="AJ9" s="1"/>
      <c r="AK9" s="1"/>
      <c r="AL9" s="1"/>
      <c r="AM9" s="11"/>
      <c r="AN9" s="18" t="s">
        <v>60</v>
      </c>
      <c r="AO9" s="18">
        <v>32</v>
      </c>
      <c r="AP9" s="22">
        <v>1</v>
      </c>
      <c r="AQ9" s="1"/>
      <c r="AR9" s="1"/>
    </row>
    <row r="10" ht="14.25">
      <c r="A10" s="11"/>
      <c r="B10" s="18" t="s">
        <v>61</v>
      </c>
      <c r="C10" s="18">
        <v>70</v>
      </c>
      <c r="D10" s="13">
        <f>(C10/70)*100</f>
        <v>100</v>
      </c>
      <c r="E10" s="14"/>
      <c r="F10" s="18" t="s">
        <v>62</v>
      </c>
      <c r="G10" s="18">
        <v>3</v>
      </c>
      <c r="H10" s="13">
        <f t="shared" ref="H10:H38" si="5">(G10/56)*100</f>
        <v>5.3571428571428568</v>
      </c>
      <c r="I10" s="14"/>
      <c r="J10" s="18" t="s">
        <v>63</v>
      </c>
      <c r="K10" s="18">
        <v>2</v>
      </c>
      <c r="L10" s="19">
        <f t="shared" ref="L10:L72" si="6">(K10/49)*100</f>
        <v>4.0816326530612246</v>
      </c>
      <c r="M10" s="14"/>
      <c r="N10" s="18" t="s">
        <v>48</v>
      </c>
      <c r="O10" s="18">
        <f>SUM(O5:O9)</f>
        <v>33</v>
      </c>
      <c r="P10" s="13">
        <f>(O10/33)*100</f>
        <v>100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1"/>
      <c r="AG10" s="18" t="s">
        <v>64</v>
      </c>
      <c r="AH10" s="18">
        <v>18</v>
      </c>
      <c r="AI10" s="18" t="s">
        <v>65</v>
      </c>
      <c r="AJ10" s="1"/>
      <c r="AK10" s="1"/>
      <c r="AL10" s="1"/>
      <c r="AM10" s="1"/>
      <c r="AN10" s="1"/>
      <c r="AO10" s="1"/>
      <c r="AP10" s="1"/>
      <c r="AQ10" s="1"/>
      <c r="AR10" s="1"/>
    </row>
    <row r="11" ht="14.25">
      <c r="A11" s="1"/>
      <c r="B11" s="1"/>
      <c r="C11" s="1"/>
      <c r="D11" s="2"/>
      <c r="E11" s="11"/>
      <c r="F11" s="18" t="s">
        <v>66</v>
      </c>
      <c r="G11" s="18">
        <v>2</v>
      </c>
      <c r="H11" s="13">
        <f t="shared" si="5"/>
        <v>3.5714285714285712</v>
      </c>
      <c r="I11" s="14"/>
      <c r="J11" s="18" t="s">
        <v>67</v>
      </c>
      <c r="K11" s="18">
        <v>1</v>
      </c>
      <c r="L11" s="19">
        <f t="shared" si="6"/>
        <v>2.0408163265306123</v>
      </c>
      <c r="M11" s="1"/>
      <c r="N11" s="23"/>
      <c r="O11" s="23"/>
      <c r="P11" s="24"/>
      <c r="Q11" s="1"/>
      <c r="R11" s="8"/>
      <c r="S11" s="8"/>
      <c r="T11" s="8"/>
      <c r="U11" s="8"/>
      <c r="V11" s="8"/>
      <c r="W11" s="8"/>
      <c r="X11" s="1"/>
      <c r="Y11" s="8"/>
      <c r="Z11" s="8"/>
      <c r="AA11" s="8"/>
      <c r="AB11" s="1"/>
      <c r="AC11" s="1"/>
      <c r="AD11" s="1"/>
      <c r="AE11" s="1"/>
      <c r="AF11" s="11"/>
      <c r="AG11" s="18" t="s">
        <v>68</v>
      </c>
      <c r="AH11" s="18">
        <v>14</v>
      </c>
      <c r="AI11" s="18" t="s">
        <v>69</v>
      </c>
      <c r="AJ11" s="1"/>
      <c r="AK11" s="1"/>
      <c r="AL11" s="1"/>
      <c r="AM11" s="1"/>
      <c r="AN11" s="8"/>
      <c r="AO11" s="8"/>
      <c r="AP11" s="8"/>
      <c r="AQ11" s="1"/>
      <c r="AR11" s="1"/>
    </row>
    <row r="12" ht="14.25">
      <c r="A12" s="1"/>
      <c r="B12" s="8"/>
      <c r="C12" s="8"/>
      <c r="D12" s="9"/>
      <c r="E12" s="11"/>
      <c r="F12" s="18" t="s">
        <v>70</v>
      </c>
      <c r="G12" s="18">
        <v>1</v>
      </c>
      <c r="H12" s="13">
        <f t="shared" si="5"/>
        <v>1.7857142857142856</v>
      </c>
      <c r="I12" s="14"/>
      <c r="J12" s="18" t="s">
        <v>71</v>
      </c>
      <c r="K12" s="18">
        <v>1</v>
      </c>
      <c r="L12" s="19">
        <f t="shared" si="6"/>
        <v>2.0408163265306123</v>
      </c>
      <c r="M12" s="14"/>
      <c r="N12" s="12" t="s">
        <v>72</v>
      </c>
      <c r="O12" s="16" t="s">
        <v>9</v>
      </c>
      <c r="P12" s="17" t="s">
        <v>10</v>
      </c>
      <c r="Q12" s="14"/>
      <c r="R12" s="12"/>
      <c r="S12" s="12" t="s">
        <v>73</v>
      </c>
      <c r="T12" s="12" t="s">
        <v>74</v>
      </c>
      <c r="U12" s="12" t="s">
        <v>75</v>
      </c>
      <c r="V12" s="12" t="s">
        <v>76</v>
      </c>
      <c r="W12" s="12" t="s">
        <v>77</v>
      </c>
      <c r="X12" s="14"/>
      <c r="Y12" s="12" t="s">
        <v>78</v>
      </c>
      <c r="Z12" s="16" t="s">
        <v>9</v>
      </c>
      <c r="AA12" s="17" t="s">
        <v>10</v>
      </c>
      <c r="AB12" s="1"/>
      <c r="AC12" s="1"/>
      <c r="AD12" s="1"/>
      <c r="AE12" s="1"/>
      <c r="AF12" s="11"/>
      <c r="AG12" s="18" t="s">
        <v>79</v>
      </c>
      <c r="AH12" s="18">
        <v>14</v>
      </c>
      <c r="AI12" s="18" t="s">
        <v>69</v>
      </c>
      <c r="AJ12" s="1"/>
      <c r="AK12" s="1"/>
      <c r="AL12" s="1"/>
      <c r="AM12" s="11"/>
      <c r="AN12" s="12" t="s">
        <v>80</v>
      </c>
      <c r="AO12" s="16" t="s">
        <v>9</v>
      </c>
      <c r="AP12" s="17" t="s">
        <v>10</v>
      </c>
      <c r="AQ12" s="1"/>
      <c r="AR12" s="1"/>
    </row>
    <row r="13" ht="14.25">
      <c r="A13" s="11"/>
      <c r="B13" s="12" t="s">
        <v>8</v>
      </c>
      <c r="C13" s="12" t="s">
        <v>9</v>
      </c>
      <c r="D13" s="15" t="s">
        <v>10</v>
      </c>
      <c r="E13" s="14"/>
      <c r="F13" s="18" t="s">
        <v>81</v>
      </c>
      <c r="G13" s="18">
        <v>1</v>
      </c>
      <c r="H13" s="13">
        <f t="shared" si="5"/>
        <v>1.7857142857142856</v>
      </c>
      <c r="I13" s="14"/>
      <c r="J13" s="18" t="s">
        <v>82</v>
      </c>
      <c r="K13" s="18">
        <v>1</v>
      </c>
      <c r="L13" s="19">
        <f t="shared" si="6"/>
        <v>2.0408163265306123</v>
      </c>
      <c r="M13" s="14"/>
      <c r="N13" s="18" t="s">
        <v>83</v>
      </c>
      <c r="O13" s="18">
        <v>20</v>
      </c>
      <c r="P13" s="13">
        <f t="shared" ref="P13:P76" si="7">(O13/33)*100</f>
        <v>60.606060606060609</v>
      </c>
      <c r="Q13" s="14"/>
      <c r="R13" s="18" t="s">
        <v>84</v>
      </c>
      <c r="S13" s="18">
        <v>8</v>
      </c>
      <c r="T13" s="18">
        <v>10</v>
      </c>
      <c r="U13" s="18">
        <v>2</v>
      </c>
      <c r="V13" s="18">
        <v>5</v>
      </c>
      <c r="W13" s="18">
        <v>7</v>
      </c>
      <c r="X13" s="14"/>
      <c r="Y13" s="18" t="s">
        <v>20</v>
      </c>
      <c r="Z13" s="20">
        <v>9</v>
      </c>
      <c r="AA13" s="21">
        <v>0.28100000000000003</v>
      </c>
      <c r="AB13" s="1"/>
      <c r="AC13" s="1"/>
      <c r="AD13" s="1"/>
      <c r="AE13" s="1"/>
      <c r="AF13" s="11"/>
      <c r="AG13" s="18" t="s">
        <v>85</v>
      </c>
      <c r="AH13" s="18">
        <v>9</v>
      </c>
      <c r="AI13" s="18" t="s">
        <v>86</v>
      </c>
      <c r="AJ13" s="1"/>
      <c r="AK13" s="1"/>
      <c r="AL13" s="1"/>
      <c r="AM13" s="11"/>
      <c r="AN13" s="18" t="s">
        <v>87</v>
      </c>
      <c r="AO13" s="18">
        <v>18</v>
      </c>
      <c r="AP13" s="18" t="s">
        <v>88</v>
      </c>
      <c r="AQ13" s="1"/>
      <c r="AR13" s="1"/>
    </row>
    <row r="14" ht="14.25">
      <c r="A14" s="11"/>
      <c r="B14" s="18" t="s">
        <v>89</v>
      </c>
      <c r="C14" s="18">
        <v>2</v>
      </c>
      <c r="D14" s="13">
        <f t="shared" ref="D14:D20" si="8">(C14/70)*100</f>
        <v>2.8571428571428572</v>
      </c>
      <c r="E14" s="14"/>
      <c r="F14" s="18" t="s">
        <v>90</v>
      </c>
      <c r="G14" s="18">
        <v>1</v>
      </c>
      <c r="H14" s="13">
        <f t="shared" si="5"/>
        <v>1.7857142857142856</v>
      </c>
      <c r="I14" s="14"/>
      <c r="J14" s="18" t="s">
        <v>91</v>
      </c>
      <c r="K14" s="18">
        <v>1</v>
      </c>
      <c r="L14" s="19">
        <f t="shared" si="6"/>
        <v>2.0408163265306123</v>
      </c>
      <c r="M14" s="14"/>
      <c r="N14" s="18" t="s">
        <v>92</v>
      </c>
      <c r="O14" s="18">
        <v>7</v>
      </c>
      <c r="P14" s="13">
        <f t="shared" si="7"/>
        <v>21.212121212121211</v>
      </c>
      <c r="Q14" s="14"/>
      <c r="R14" s="18" t="s">
        <v>93</v>
      </c>
      <c r="S14" s="18">
        <v>5</v>
      </c>
      <c r="T14" s="18">
        <v>8</v>
      </c>
      <c r="U14" s="18">
        <v>3</v>
      </c>
      <c r="V14" s="18">
        <v>12</v>
      </c>
      <c r="W14" s="18">
        <v>5</v>
      </c>
      <c r="X14" s="14"/>
      <c r="Y14" s="18" t="s">
        <v>40</v>
      </c>
      <c r="Z14" s="20">
        <v>9</v>
      </c>
      <c r="AA14" s="21">
        <v>0.28100000000000003</v>
      </c>
      <c r="AB14" s="1"/>
      <c r="AC14" s="1"/>
      <c r="AD14" s="1"/>
      <c r="AE14" s="1"/>
      <c r="AF14" s="11"/>
      <c r="AG14" s="18" t="s">
        <v>94</v>
      </c>
      <c r="AH14" s="18">
        <v>9</v>
      </c>
      <c r="AI14" s="18" t="s">
        <v>86</v>
      </c>
      <c r="AJ14" s="1"/>
      <c r="AK14" s="1"/>
      <c r="AL14" s="1"/>
      <c r="AM14" s="11"/>
      <c r="AN14" s="18" t="s">
        <v>27</v>
      </c>
      <c r="AO14" s="18">
        <v>8</v>
      </c>
      <c r="AP14" s="18" t="s">
        <v>95</v>
      </c>
      <c r="AQ14" s="1"/>
      <c r="AR14" s="1"/>
    </row>
    <row r="15" ht="14.25">
      <c r="A15" s="11"/>
      <c r="B15" s="18" t="s">
        <v>96</v>
      </c>
      <c r="C15" s="18">
        <v>20</v>
      </c>
      <c r="D15" s="13">
        <f t="shared" si="8"/>
        <v>28.571428571428569</v>
      </c>
      <c r="E15" s="14"/>
      <c r="F15" s="18" t="s">
        <v>97</v>
      </c>
      <c r="G15" s="18">
        <v>1</v>
      </c>
      <c r="H15" s="13">
        <f t="shared" si="5"/>
        <v>1.7857142857142856</v>
      </c>
      <c r="I15" s="14"/>
      <c r="J15" s="18" t="s">
        <v>98</v>
      </c>
      <c r="K15" s="18">
        <v>1</v>
      </c>
      <c r="L15" s="19">
        <f t="shared" si="6"/>
        <v>2.0408163265306123</v>
      </c>
      <c r="M15" s="14"/>
      <c r="N15" s="18" t="s">
        <v>99</v>
      </c>
      <c r="O15" s="18">
        <v>5</v>
      </c>
      <c r="P15" s="13">
        <f t="shared" si="7"/>
        <v>15.151515151515152</v>
      </c>
      <c r="Q15" s="14"/>
      <c r="R15" s="18" t="s">
        <v>100</v>
      </c>
      <c r="S15" s="18">
        <v>6</v>
      </c>
      <c r="T15" s="18">
        <v>7</v>
      </c>
      <c r="U15" s="18">
        <v>3</v>
      </c>
      <c r="V15" s="18">
        <v>11</v>
      </c>
      <c r="W15" s="18">
        <v>5</v>
      </c>
      <c r="X15" s="14"/>
      <c r="Y15" s="18" t="s">
        <v>58</v>
      </c>
      <c r="Z15" s="20">
        <v>7</v>
      </c>
      <c r="AA15" s="21">
        <v>0.219</v>
      </c>
      <c r="AB15" s="1"/>
      <c r="AC15" s="1"/>
      <c r="AD15" s="1"/>
      <c r="AE15" s="1"/>
      <c r="AF15" s="11"/>
      <c r="AG15" s="18" t="s">
        <v>101</v>
      </c>
      <c r="AH15" s="18">
        <v>7</v>
      </c>
      <c r="AI15" s="18" t="s">
        <v>102</v>
      </c>
      <c r="AJ15" s="1"/>
      <c r="AK15" s="1"/>
      <c r="AL15" s="1"/>
      <c r="AM15" s="11"/>
      <c r="AN15" s="18" t="s">
        <v>103</v>
      </c>
      <c r="AO15" s="18">
        <v>7</v>
      </c>
      <c r="AP15" s="18" t="s">
        <v>43</v>
      </c>
      <c r="AQ15" s="1"/>
      <c r="AR15" s="1"/>
    </row>
    <row r="16" ht="14.25">
      <c r="A16" s="11"/>
      <c r="B16" s="18" t="s">
        <v>104</v>
      </c>
      <c r="C16" s="18">
        <v>17</v>
      </c>
      <c r="D16" s="13">
        <f t="shared" si="8"/>
        <v>24.285714285714285</v>
      </c>
      <c r="E16" s="14"/>
      <c r="F16" s="18" t="s">
        <v>105</v>
      </c>
      <c r="G16" s="18">
        <v>1</v>
      </c>
      <c r="H16" s="13">
        <f t="shared" si="5"/>
        <v>1.7857142857142856</v>
      </c>
      <c r="I16" s="14"/>
      <c r="J16" s="18" t="s">
        <v>106</v>
      </c>
      <c r="K16" s="18">
        <v>1</v>
      </c>
      <c r="L16" s="19">
        <f t="shared" si="6"/>
        <v>2.0408163265306123</v>
      </c>
      <c r="M16" s="14"/>
      <c r="N16" s="18" t="s">
        <v>107</v>
      </c>
      <c r="O16" s="18">
        <v>1</v>
      </c>
      <c r="P16" s="13">
        <f t="shared" si="7"/>
        <v>3.0303030303030303</v>
      </c>
      <c r="Q16" s="14"/>
      <c r="R16" s="18" t="s">
        <v>108</v>
      </c>
      <c r="S16" s="18">
        <v>8</v>
      </c>
      <c r="T16" s="18">
        <v>9</v>
      </c>
      <c r="U16" s="18">
        <v>4</v>
      </c>
      <c r="V16" s="18">
        <v>9</v>
      </c>
      <c r="W16" s="18">
        <v>5</v>
      </c>
      <c r="X16" s="14"/>
      <c r="Y16" s="18" t="s">
        <v>49</v>
      </c>
      <c r="Z16" s="20">
        <v>7</v>
      </c>
      <c r="AA16" s="21">
        <v>0.219</v>
      </c>
      <c r="AB16" s="1"/>
      <c r="AC16" s="1"/>
      <c r="AD16" s="1"/>
      <c r="AE16" s="1"/>
      <c r="AF16" s="11"/>
      <c r="AG16" s="18" t="s">
        <v>109</v>
      </c>
      <c r="AH16" s="18">
        <v>3</v>
      </c>
      <c r="AI16" s="18" t="s">
        <v>110</v>
      </c>
      <c r="AJ16" s="1"/>
      <c r="AK16" s="1"/>
      <c r="AL16" s="1"/>
      <c r="AM16" s="11"/>
      <c r="AN16" s="18" t="s">
        <v>46</v>
      </c>
      <c r="AO16" s="18">
        <v>6</v>
      </c>
      <c r="AP16" s="18" t="s">
        <v>111</v>
      </c>
      <c r="AQ16" s="1"/>
      <c r="AR16" s="1"/>
    </row>
    <row r="17" ht="14.25">
      <c r="A17" s="11"/>
      <c r="B17" s="18" t="s">
        <v>112</v>
      </c>
      <c r="C17" s="18">
        <v>17</v>
      </c>
      <c r="D17" s="13">
        <f t="shared" si="8"/>
        <v>24.285714285714285</v>
      </c>
      <c r="E17" s="14"/>
      <c r="F17" s="18" t="s">
        <v>113</v>
      </c>
      <c r="G17" s="18">
        <v>1</v>
      </c>
      <c r="H17" s="13">
        <f t="shared" si="5"/>
        <v>1.7857142857142856</v>
      </c>
      <c r="I17" s="14"/>
      <c r="J17" s="18" t="s">
        <v>114</v>
      </c>
      <c r="K17" s="18">
        <v>1</v>
      </c>
      <c r="L17" s="19">
        <f t="shared" si="6"/>
        <v>2.0408163265306123</v>
      </c>
      <c r="M17" s="14"/>
      <c r="N17" s="18" t="s">
        <v>48</v>
      </c>
      <c r="O17" s="18">
        <f>SUM(O13:O16)</f>
        <v>33</v>
      </c>
      <c r="P17" s="13">
        <f t="shared" si="7"/>
        <v>100</v>
      </c>
      <c r="Q17" s="14"/>
      <c r="R17" s="18" t="s">
        <v>115</v>
      </c>
      <c r="S17" s="18">
        <v>9</v>
      </c>
      <c r="T17" s="18">
        <v>10</v>
      </c>
      <c r="U17" s="18">
        <v>5</v>
      </c>
      <c r="V17" s="18">
        <v>5</v>
      </c>
      <c r="W17" s="18">
        <v>3</v>
      </c>
      <c r="X17" s="14"/>
      <c r="Y17" s="18" t="s">
        <v>30</v>
      </c>
      <c r="Z17" s="20">
        <v>0</v>
      </c>
      <c r="AA17" s="25">
        <v>0</v>
      </c>
      <c r="AB17" s="1"/>
      <c r="AC17" s="1"/>
      <c r="AD17" s="1"/>
      <c r="AE17" s="1"/>
      <c r="AF17" s="11"/>
      <c r="AG17" s="18" t="s">
        <v>116</v>
      </c>
      <c r="AH17" s="18">
        <v>1</v>
      </c>
      <c r="AI17" s="18" t="s">
        <v>117</v>
      </c>
      <c r="AJ17" s="1"/>
      <c r="AK17" s="1"/>
      <c r="AL17" s="1"/>
      <c r="AM17" s="1"/>
      <c r="AN17" s="1"/>
      <c r="AO17" s="1"/>
      <c r="AP17" s="1"/>
      <c r="AQ17" s="1"/>
      <c r="AR17" s="1"/>
    </row>
    <row r="18" ht="14.25">
      <c r="A18" s="11"/>
      <c r="B18" s="18" t="s">
        <v>118</v>
      </c>
      <c r="C18" s="18">
        <v>10</v>
      </c>
      <c r="D18" s="13">
        <f t="shared" si="8"/>
        <v>14.285714285714285</v>
      </c>
      <c r="E18" s="14"/>
      <c r="F18" s="18" t="s">
        <v>119</v>
      </c>
      <c r="G18" s="18">
        <v>1</v>
      </c>
      <c r="H18" s="13">
        <f t="shared" si="5"/>
        <v>1.7857142857142856</v>
      </c>
      <c r="I18" s="14"/>
      <c r="J18" s="18" t="s">
        <v>120</v>
      </c>
      <c r="K18" s="18">
        <v>1</v>
      </c>
      <c r="L18" s="19">
        <f t="shared" si="6"/>
        <v>2.0408163265306123</v>
      </c>
      <c r="M18" s="1"/>
      <c r="N18" s="1"/>
      <c r="O18" s="1"/>
      <c r="P18" s="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1"/>
      <c r="AG18" s="18" t="s">
        <v>121</v>
      </c>
      <c r="AH18" s="18">
        <v>1</v>
      </c>
      <c r="AI18" s="18" t="s">
        <v>117</v>
      </c>
      <c r="AJ18" s="1"/>
      <c r="AK18" s="1"/>
      <c r="AL18" s="1"/>
      <c r="AM18" s="1"/>
      <c r="AN18" s="1"/>
      <c r="AO18" s="1"/>
      <c r="AP18" s="1"/>
      <c r="AQ18" s="1"/>
      <c r="AR18" s="1"/>
    </row>
    <row r="19" ht="14.25">
      <c r="A19" s="11"/>
      <c r="B19" s="18" t="s">
        <v>122</v>
      </c>
      <c r="C19" s="18">
        <v>4</v>
      </c>
      <c r="D19" s="13">
        <f t="shared" si="8"/>
        <v>5.7142857142857144</v>
      </c>
      <c r="E19" s="14"/>
      <c r="F19" s="18" t="s">
        <v>60</v>
      </c>
      <c r="G19" s="18">
        <v>56</v>
      </c>
      <c r="H19" s="13">
        <f t="shared" si="5"/>
        <v>100</v>
      </c>
      <c r="I19" s="14"/>
      <c r="J19" s="18" t="s">
        <v>123</v>
      </c>
      <c r="K19" s="18">
        <v>1</v>
      </c>
      <c r="L19" s="19">
        <f t="shared" si="6"/>
        <v>2.0408163265306123</v>
      </c>
      <c r="M19" s="1"/>
      <c r="N19" s="8"/>
      <c r="O19" s="8"/>
      <c r="P19" s="9"/>
      <c r="Q19" s="1"/>
      <c r="R19" s="8"/>
      <c r="S19" s="8"/>
      <c r="T19" s="1"/>
      <c r="U19" s="1"/>
      <c r="V19" s="1"/>
      <c r="W19" s="1"/>
      <c r="X19" s="1"/>
      <c r="Y19" s="8"/>
      <c r="Z19" s="8"/>
      <c r="AA19" s="8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ht="14.25">
      <c r="A20" s="11"/>
      <c r="B20" s="18" t="s">
        <v>61</v>
      </c>
      <c r="C20" s="18">
        <v>70</v>
      </c>
      <c r="D20" s="13">
        <f t="shared" si="8"/>
        <v>100</v>
      </c>
      <c r="E20" s="1"/>
      <c r="F20" s="1"/>
      <c r="G20" s="1"/>
      <c r="H20" s="1"/>
      <c r="I20" s="11"/>
      <c r="J20" s="18"/>
      <c r="K20" s="18">
        <f>SUM(K5:K19)</f>
        <v>49</v>
      </c>
      <c r="L20" s="19">
        <f t="shared" si="6"/>
        <v>100</v>
      </c>
      <c r="M20" s="14"/>
      <c r="N20" s="12" t="s">
        <v>124</v>
      </c>
      <c r="O20" s="12" t="s">
        <v>125</v>
      </c>
      <c r="P20" s="15" t="s">
        <v>10</v>
      </c>
      <c r="Q20" s="14"/>
      <c r="R20" s="12" t="s">
        <v>126</v>
      </c>
      <c r="S20" s="12" t="s">
        <v>127</v>
      </c>
      <c r="T20" s="1"/>
      <c r="U20" s="1"/>
      <c r="V20" s="1"/>
      <c r="W20" s="1"/>
      <c r="X20" s="11"/>
      <c r="Y20" s="12" t="s">
        <v>128</v>
      </c>
      <c r="Z20" s="16" t="s">
        <v>9</v>
      </c>
      <c r="AA20" s="17" t="s">
        <v>10</v>
      </c>
      <c r="AB20" s="1"/>
      <c r="AC20" s="1"/>
      <c r="AD20" s="1"/>
      <c r="AE20" s="1"/>
      <c r="AF20" s="1"/>
      <c r="AG20" s="8"/>
      <c r="AH20" s="8"/>
      <c r="AI20" s="8"/>
      <c r="AJ20" s="8"/>
      <c r="AK20" s="8"/>
      <c r="AL20" s="8"/>
      <c r="AM20" s="1"/>
      <c r="AN20" s="1"/>
      <c r="AO20" s="1"/>
      <c r="AP20" s="1"/>
      <c r="AQ20" s="1"/>
      <c r="AR20" s="1"/>
    </row>
    <row r="21" ht="14.25">
      <c r="A21" s="1"/>
      <c r="B21" s="1"/>
      <c r="C21" s="1"/>
      <c r="D21" s="2">
        <f>SUM(D15:D17)</f>
        <v>77.142857142857139</v>
      </c>
      <c r="E21" s="1"/>
      <c r="F21" s="1"/>
      <c r="G21" s="1"/>
      <c r="H21" s="1"/>
      <c r="I21" s="1"/>
      <c r="J21" s="23"/>
      <c r="K21" s="23"/>
      <c r="L21" s="26"/>
      <c r="M21" s="11"/>
      <c r="N21" s="18" t="s">
        <v>129</v>
      </c>
      <c r="O21" s="18">
        <v>33</v>
      </c>
      <c r="P21" s="13">
        <f t="shared" si="7"/>
        <v>100</v>
      </c>
      <c r="Q21" s="14"/>
      <c r="R21" s="18" t="s">
        <v>130</v>
      </c>
      <c r="S21" s="18">
        <v>2</v>
      </c>
      <c r="T21" s="1"/>
      <c r="U21" s="1"/>
      <c r="V21" s="1"/>
      <c r="W21" s="1"/>
      <c r="X21" s="11"/>
      <c r="Y21" s="18" t="s">
        <v>40</v>
      </c>
      <c r="Z21" s="20">
        <v>17</v>
      </c>
      <c r="AA21" s="21">
        <v>0.53120000000000001</v>
      </c>
      <c r="AB21" s="1"/>
      <c r="AC21" s="1"/>
      <c r="AD21" s="1"/>
      <c r="AE21" s="1"/>
      <c r="AF21" s="11"/>
      <c r="AG21" s="12" t="s">
        <v>13</v>
      </c>
      <c r="AH21" s="12" t="s">
        <v>131</v>
      </c>
      <c r="AI21" s="12" t="s">
        <v>132</v>
      </c>
      <c r="AJ21" s="12" t="s">
        <v>58</v>
      </c>
      <c r="AK21" s="12" t="s">
        <v>133</v>
      </c>
      <c r="AL21" s="12" t="s">
        <v>134</v>
      </c>
      <c r="AM21" s="1"/>
      <c r="AN21" s="1"/>
      <c r="AO21" s="1"/>
      <c r="AP21" s="1"/>
      <c r="AQ21" s="1"/>
      <c r="AR21" s="1"/>
    </row>
    <row r="22" ht="14.25">
      <c r="A22" s="1"/>
      <c r="B22" s="8"/>
      <c r="C22" s="8"/>
      <c r="D22" s="9"/>
      <c r="E22" s="1"/>
      <c r="F22" s="8"/>
      <c r="G22" s="8"/>
      <c r="H22" s="8"/>
      <c r="I22" s="11"/>
      <c r="J22" s="16" t="s">
        <v>8</v>
      </c>
      <c r="K22" s="16" t="s">
        <v>9</v>
      </c>
      <c r="L22" s="17" t="s">
        <v>10</v>
      </c>
      <c r="M22" s="14"/>
      <c r="N22" s="18" t="s">
        <v>135</v>
      </c>
      <c r="O22" s="18">
        <v>27</v>
      </c>
      <c r="P22" s="13">
        <f t="shared" si="7"/>
        <v>81.818181818181827</v>
      </c>
      <c r="Q22" s="14"/>
      <c r="R22" s="18" t="s">
        <v>136</v>
      </c>
      <c r="S22" s="18">
        <v>1</v>
      </c>
      <c r="T22" s="1"/>
      <c r="U22" s="1"/>
      <c r="V22" s="1"/>
      <c r="W22" s="1"/>
      <c r="X22" s="11"/>
      <c r="Y22" s="18" t="s">
        <v>20</v>
      </c>
      <c r="Z22" s="20">
        <v>9</v>
      </c>
      <c r="AA22" s="21">
        <v>0.28120000000000001</v>
      </c>
      <c r="AB22" s="1"/>
      <c r="AC22" s="1"/>
      <c r="AD22" s="1"/>
      <c r="AE22" s="1"/>
      <c r="AF22" s="11"/>
      <c r="AG22" s="18" t="s">
        <v>137</v>
      </c>
      <c r="AH22" s="18" t="s">
        <v>138</v>
      </c>
      <c r="AI22" s="18" t="s">
        <v>139</v>
      </c>
      <c r="AJ22" s="18" t="s">
        <v>140</v>
      </c>
      <c r="AK22" s="18" t="s">
        <v>141</v>
      </c>
      <c r="AL22" s="18" t="s">
        <v>142</v>
      </c>
      <c r="AM22" s="1"/>
      <c r="AN22" s="1"/>
      <c r="AO22" s="1"/>
      <c r="AP22" s="1"/>
      <c r="AQ22" s="1"/>
      <c r="AR22" s="1"/>
    </row>
    <row r="23" ht="14.25">
      <c r="A23" s="11"/>
      <c r="B23" s="12" t="s">
        <v>8</v>
      </c>
      <c r="C23" s="12" t="s">
        <v>9</v>
      </c>
      <c r="D23" s="19" t="s">
        <v>10</v>
      </c>
      <c r="E23" s="14"/>
      <c r="F23" s="12" t="s">
        <v>8</v>
      </c>
      <c r="G23" s="12" t="s">
        <v>9</v>
      </c>
      <c r="H23" s="15" t="s">
        <v>10</v>
      </c>
      <c r="I23" s="14"/>
      <c r="J23" s="18" t="s">
        <v>143</v>
      </c>
      <c r="K23" s="18">
        <v>24</v>
      </c>
      <c r="L23" s="19">
        <f t="shared" si="6"/>
        <v>48.979591836734691</v>
      </c>
      <c r="M23" s="14"/>
      <c r="N23" s="18" t="s">
        <v>144</v>
      </c>
      <c r="O23" s="18">
        <v>22</v>
      </c>
      <c r="P23" s="13">
        <f t="shared" si="7"/>
        <v>66.666666666666657</v>
      </c>
      <c r="Q23" s="14"/>
      <c r="R23" s="18" t="s">
        <v>145</v>
      </c>
      <c r="S23" s="18">
        <v>1</v>
      </c>
      <c r="T23" s="1"/>
      <c r="U23" s="1"/>
      <c r="V23" s="1"/>
      <c r="W23" s="1"/>
      <c r="X23" s="11"/>
      <c r="Y23" s="18" t="s">
        <v>58</v>
      </c>
      <c r="Z23" s="20">
        <v>3</v>
      </c>
      <c r="AA23" s="21">
        <v>0.093699999999999992</v>
      </c>
      <c r="AB23" s="1"/>
      <c r="AC23" s="1"/>
      <c r="AD23" s="1"/>
      <c r="AE23" s="1"/>
      <c r="AF23" s="11"/>
      <c r="AG23" s="18" t="s">
        <v>146</v>
      </c>
      <c r="AH23" s="18" t="s">
        <v>138</v>
      </c>
      <c r="AI23" s="18" t="s">
        <v>140</v>
      </c>
      <c r="AJ23" s="18" t="s">
        <v>147</v>
      </c>
      <c r="AK23" s="18" t="s">
        <v>141</v>
      </c>
      <c r="AL23" s="18" t="s">
        <v>140</v>
      </c>
      <c r="AM23" s="1"/>
      <c r="AN23" s="1"/>
      <c r="AO23" s="1"/>
      <c r="AP23" s="1"/>
      <c r="AQ23" s="1"/>
      <c r="AR23" s="1"/>
    </row>
    <row r="24" ht="14.25">
      <c r="A24" s="11"/>
      <c r="B24" s="18" t="s">
        <v>148</v>
      </c>
      <c r="C24" s="27">
        <v>8</v>
      </c>
      <c r="D24" s="19">
        <f t="shared" ref="D24:D60" si="9">(C24/70)*100</f>
        <v>11.428571428571429</v>
      </c>
      <c r="E24" s="14"/>
      <c r="F24" s="18" t="s">
        <v>149</v>
      </c>
      <c r="G24" s="18">
        <v>10</v>
      </c>
      <c r="H24" s="13">
        <f t="shared" si="5"/>
        <v>17.857142857142858</v>
      </c>
      <c r="I24" s="14"/>
      <c r="J24" s="18" t="s">
        <v>150</v>
      </c>
      <c r="K24" s="18">
        <v>9</v>
      </c>
      <c r="L24" s="19">
        <f t="shared" si="6"/>
        <v>18.367346938775512</v>
      </c>
      <c r="M24" s="14"/>
      <c r="N24" s="18" t="s">
        <v>151</v>
      </c>
      <c r="O24" s="18">
        <v>9</v>
      </c>
      <c r="P24" s="13">
        <f t="shared" si="7"/>
        <v>27.27272727272727</v>
      </c>
      <c r="Q24" s="14"/>
      <c r="R24" s="18" t="s">
        <v>152</v>
      </c>
      <c r="S24" s="18">
        <v>1</v>
      </c>
      <c r="T24" s="1"/>
      <c r="U24" s="1"/>
      <c r="V24" s="1"/>
      <c r="W24" s="1"/>
      <c r="X24" s="11"/>
      <c r="Y24" s="18" t="s">
        <v>30</v>
      </c>
      <c r="Z24" s="20">
        <v>1</v>
      </c>
      <c r="AA24" s="21">
        <v>0.031200000000000002</v>
      </c>
      <c r="AB24" s="1"/>
      <c r="AC24" s="1"/>
      <c r="AD24" s="1"/>
      <c r="AE24" s="1"/>
      <c r="AF24" s="11"/>
      <c r="AG24" s="18" t="s">
        <v>153</v>
      </c>
      <c r="AH24" s="18" t="s">
        <v>154</v>
      </c>
      <c r="AI24" s="18" t="s">
        <v>155</v>
      </c>
      <c r="AJ24" s="18" t="s">
        <v>156</v>
      </c>
      <c r="AK24" s="18" t="s">
        <v>157</v>
      </c>
      <c r="AL24" s="18" t="s">
        <v>155</v>
      </c>
      <c r="AM24" s="1"/>
      <c r="AN24" s="1"/>
      <c r="AO24" s="1"/>
      <c r="AP24" s="1"/>
      <c r="AQ24" s="1"/>
      <c r="AR24" s="1"/>
    </row>
    <row r="25" ht="14.25">
      <c r="A25" s="11"/>
      <c r="B25" s="22">
        <v>0.80000000000000004</v>
      </c>
      <c r="C25" s="27">
        <v>17</v>
      </c>
      <c r="D25" s="19">
        <f t="shared" si="9"/>
        <v>24.285714285714285</v>
      </c>
      <c r="E25" s="14"/>
      <c r="F25" s="18" t="s">
        <v>158</v>
      </c>
      <c r="G25" s="18">
        <v>6</v>
      </c>
      <c r="H25" s="13">
        <f t="shared" si="5"/>
        <v>10.714285714285714</v>
      </c>
      <c r="I25" s="14"/>
      <c r="J25" s="18" t="s">
        <v>159</v>
      </c>
      <c r="K25" s="18">
        <v>5</v>
      </c>
      <c r="L25" s="19">
        <f t="shared" si="6"/>
        <v>10.204081632653061</v>
      </c>
      <c r="M25" s="14"/>
      <c r="N25" s="18" t="s">
        <v>160</v>
      </c>
      <c r="O25" s="18">
        <v>9</v>
      </c>
      <c r="P25" s="13">
        <f t="shared" si="7"/>
        <v>27.27272727272727</v>
      </c>
      <c r="Q25" s="14"/>
      <c r="R25" s="18" t="s">
        <v>161</v>
      </c>
      <c r="S25" s="18">
        <v>1</v>
      </c>
      <c r="T25" s="1"/>
      <c r="U25" s="1"/>
      <c r="V25" s="1"/>
      <c r="W25" s="1"/>
      <c r="X25" s="11"/>
      <c r="Y25" s="18" t="s">
        <v>49</v>
      </c>
      <c r="Z25" s="20">
        <v>2</v>
      </c>
      <c r="AA25" s="21">
        <v>0.0625</v>
      </c>
      <c r="AB25" s="1"/>
      <c r="AC25" s="1"/>
      <c r="AD25" s="1"/>
      <c r="AE25" s="1"/>
      <c r="AF25" s="11"/>
      <c r="AG25" s="18" t="s">
        <v>162</v>
      </c>
      <c r="AH25" s="18" t="s">
        <v>138</v>
      </c>
      <c r="AI25" s="18" t="s">
        <v>156</v>
      </c>
      <c r="AJ25" s="18" t="s">
        <v>141</v>
      </c>
      <c r="AK25" s="18" t="s">
        <v>156</v>
      </c>
      <c r="AL25" s="18" t="s">
        <v>155</v>
      </c>
      <c r="AM25" s="1"/>
      <c r="AN25" s="1"/>
      <c r="AO25" s="1"/>
      <c r="AP25" s="1"/>
      <c r="AQ25" s="1"/>
      <c r="AR25" s="1"/>
    </row>
    <row r="26" ht="14.25">
      <c r="A26" s="11"/>
      <c r="B26" s="18" t="s">
        <v>163</v>
      </c>
      <c r="C26" s="27">
        <v>31</v>
      </c>
      <c r="D26" s="19">
        <f t="shared" si="9"/>
        <v>44.285714285714285</v>
      </c>
      <c r="E26" s="14"/>
      <c r="F26" s="18" t="s">
        <v>164</v>
      </c>
      <c r="G26" s="18">
        <v>9</v>
      </c>
      <c r="H26" s="13">
        <f t="shared" si="5"/>
        <v>16.071428571428573</v>
      </c>
      <c r="I26" s="14"/>
      <c r="J26" s="18" t="s">
        <v>165</v>
      </c>
      <c r="K26" s="18">
        <v>4</v>
      </c>
      <c r="L26" s="19">
        <f t="shared" si="6"/>
        <v>8.1632653061224492</v>
      </c>
      <c r="M26" s="14"/>
      <c r="N26" s="18" t="s">
        <v>166</v>
      </c>
      <c r="O26" s="18">
        <v>4</v>
      </c>
      <c r="P26" s="13">
        <f t="shared" si="7"/>
        <v>12.121212121212121</v>
      </c>
      <c r="Q26" s="14"/>
      <c r="R26" s="18" t="s">
        <v>167</v>
      </c>
      <c r="S26" s="18">
        <v>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ht="14.25">
      <c r="A27" s="11"/>
      <c r="B27" s="18" t="s">
        <v>168</v>
      </c>
      <c r="C27" s="27">
        <v>4</v>
      </c>
      <c r="D27" s="19">
        <f t="shared" si="9"/>
        <v>5.7142857142857144</v>
      </c>
      <c r="E27" s="14"/>
      <c r="F27" s="18" t="s">
        <v>169</v>
      </c>
      <c r="G27" s="18">
        <v>5</v>
      </c>
      <c r="H27" s="13">
        <f t="shared" si="5"/>
        <v>8.9285714285714288</v>
      </c>
      <c r="I27" s="14"/>
      <c r="J27" s="18" t="s">
        <v>170</v>
      </c>
      <c r="K27" s="18">
        <v>4</v>
      </c>
      <c r="L27" s="19">
        <f t="shared" si="6"/>
        <v>8.1632653061224492</v>
      </c>
      <c r="M27" s="14"/>
      <c r="N27" s="18" t="s">
        <v>171</v>
      </c>
      <c r="O27" s="18">
        <v>4</v>
      </c>
      <c r="P27" s="13">
        <f t="shared" si="7"/>
        <v>12.121212121212121</v>
      </c>
      <c r="Q27" s="14"/>
      <c r="R27" s="18" t="s">
        <v>172</v>
      </c>
      <c r="S27" s="18">
        <v>10</v>
      </c>
      <c r="T27" s="1"/>
      <c r="U27" s="1"/>
      <c r="V27" s="1"/>
      <c r="W27" s="1"/>
      <c r="X27" s="1"/>
      <c r="Y27" s="8"/>
      <c r="Z27" s="8"/>
      <c r="AA27" s="8"/>
      <c r="AB27" s="1"/>
      <c r="AC27" s="1"/>
      <c r="AD27" s="1"/>
      <c r="AE27" s="1"/>
      <c r="AF27" s="1"/>
      <c r="AG27" s="8"/>
      <c r="AH27" s="8"/>
      <c r="AI27" s="8"/>
      <c r="AJ27" s="1"/>
      <c r="AK27" s="1"/>
      <c r="AL27" s="1"/>
      <c r="AM27" s="1"/>
      <c r="AN27" s="1"/>
      <c r="AO27" s="1"/>
      <c r="AP27" s="1"/>
      <c r="AQ27" s="1"/>
      <c r="AR27" s="1"/>
    </row>
    <row r="28" ht="14.25">
      <c r="A28" s="11"/>
      <c r="B28" s="18" t="s">
        <v>173</v>
      </c>
      <c r="C28" s="27">
        <v>10</v>
      </c>
      <c r="D28" s="19">
        <f t="shared" si="9"/>
        <v>14.285714285714285</v>
      </c>
      <c r="E28" s="14"/>
      <c r="F28" s="18" t="s">
        <v>174</v>
      </c>
      <c r="G28" s="18">
        <v>2</v>
      </c>
      <c r="H28" s="13">
        <f t="shared" si="5"/>
        <v>3.5714285714285712</v>
      </c>
      <c r="I28" s="14"/>
      <c r="J28" s="18" t="s">
        <v>175</v>
      </c>
      <c r="K28" s="18">
        <v>1</v>
      </c>
      <c r="L28" s="19">
        <f t="shared" si="6"/>
        <v>2.0408163265306123</v>
      </c>
      <c r="M28" s="14"/>
      <c r="N28" s="18" t="s">
        <v>176</v>
      </c>
      <c r="O28" s="18">
        <v>2</v>
      </c>
      <c r="P28" s="13">
        <f t="shared" si="7"/>
        <v>6.0606060606060606</v>
      </c>
      <c r="Q28" s="1"/>
      <c r="R28" s="1"/>
      <c r="S28" s="1"/>
      <c r="T28" s="1"/>
      <c r="U28" s="1"/>
      <c r="V28" s="1"/>
      <c r="W28" s="1"/>
      <c r="X28" s="11"/>
      <c r="Y28" s="12" t="s">
        <v>177</v>
      </c>
      <c r="Z28" s="16" t="s">
        <v>9</v>
      </c>
      <c r="AA28" s="17" t="s">
        <v>10</v>
      </c>
      <c r="AB28" s="1"/>
      <c r="AC28" s="1"/>
      <c r="AD28" s="1"/>
      <c r="AE28" s="1"/>
      <c r="AF28" s="11"/>
      <c r="AG28" s="12" t="s">
        <v>178</v>
      </c>
      <c r="AH28" s="16" t="s">
        <v>9</v>
      </c>
      <c r="AI28" s="17" t="s">
        <v>10</v>
      </c>
      <c r="AJ28" s="1"/>
      <c r="AK28" s="1"/>
      <c r="AL28" s="1"/>
      <c r="AM28" s="1"/>
      <c r="AN28" s="1"/>
      <c r="AO28" s="1"/>
      <c r="AP28" s="1"/>
      <c r="AQ28" s="1"/>
      <c r="AR28" s="1"/>
    </row>
    <row r="29" ht="14.25">
      <c r="A29" s="11"/>
      <c r="B29" s="18" t="s">
        <v>61</v>
      </c>
      <c r="C29" s="27">
        <v>70</v>
      </c>
      <c r="D29" s="19">
        <f t="shared" si="9"/>
        <v>100</v>
      </c>
      <c r="E29" s="14"/>
      <c r="F29" s="18" t="s">
        <v>179</v>
      </c>
      <c r="G29" s="18">
        <v>6</v>
      </c>
      <c r="H29" s="13">
        <f t="shared" si="5"/>
        <v>10.714285714285714</v>
      </c>
      <c r="I29" s="14"/>
      <c r="J29" s="18" t="s">
        <v>180</v>
      </c>
      <c r="K29" s="18">
        <v>1</v>
      </c>
      <c r="L29" s="19">
        <f t="shared" si="6"/>
        <v>2.0408163265306123</v>
      </c>
      <c r="M29" s="14"/>
      <c r="N29" s="18" t="s">
        <v>181</v>
      </c>
      <c r="O29" s="18">
        <v>1</v>
      </c>
      <c r="P29" s="13">
        <f t="shared" si="7"/>
        <v>3.0303030303030303</v>
      </c>
      <c r="Q29" s="1"/>
      <c r="R29" s="8"/>
      <c r="S29" s="8"/>
      <c r="T29" s="8"/>
      <c r="U29" s="8"/>
      <c r="V29" s="8"/>
      <c r="W29" s="8"/>
      <c r="X29" s="11"/>
      <c r="Y29" s="18" t="s">
        <v>182</v>
      </c>
      <c r="Z29" s="18">
        <v>25</v>
      </c>
      <c r="AA29" s="18" t="s">
        <v>183</v>
      </c>
      <c r="AB29" s="1"/>
      <c r="AC29" s="1"/>
      <c r="AD29" s="1"/>
      <c r="AE29" s="1"/>
      <c r="AF29" s="11"/>
      <c r="AG29" s="18" t="s">
        <v>184</v>
      </c>
      <c r="AH29" s="18">
        <v>21</v>
      </c>
      <c r="AI29" s="18" t="s">
        <v>185</v>
      </c>
      <c r="AJ29" s="1"/>
      <c r="AK29" s="1"/>
      <c r="AL29" s="1"/>
      <c r="AM29" s="1"/>
      <c r="AN29" s="1"/>
      <c r="AO29" s="1"/>
      <c r="AP29" s="1"/>
      <c r="AQ29" s="1"/>
      <c r="AR29" s="1"/>
    </row>
    <row r="30" ht="14.25">
      <c r="A30" s="1"/>
      <c r="B30" s="1"/>
      <c r="C30" s="1"/>
      <c r="D30" s="2"/>
      <c r="E30" s="11"/>
      <c r="F30" s="18" t="s">
        <v>186</v>
      </c>
      <c r="G30" s="18">
        <v>6</v>
      </c>
      <c r="H30" s="13">
        <f t="shared" si="5"/>
        <v>10.714285714285714</v>
      </c>
      <c r="I30" s="14"/>
      <c r="J30" s="18" t="s">
        <v>187</v>
      </c>
      <c r="K30" s="18">
        <v>1</v>
      </c>
      <c r="L30" s="19">
        <f t="shared" si="6"/>
        <v>2.0408163265306123</v>
      </c>
      <c r="M30" s="14"/>
      <c r="N30" s="18" t="s">
        <v>188</v>
      </c>
      <c r="O30" s="18">
        <v>1</v>
      </c>
      <c r="P30" s="13">
        <f t="shared" si="7"/>
        <v>3.0303030303030303</v>
      </c>
      <c r="Q30" s="14"/>
      <c r="R30" s="12" t="s">
        <v>189</v>
      </c>
      <c r="S30" s="12" t="s">
        <v>73</v>
      </c>
      <c r="T30" s="12" t="s">
        <v>74</v>
      </c>
      <c r="U30" s="12" t="s">
        <v>75</v>
      </c>
      <c r="V30" s="12" t="s">
        <v>76</v>
      </c>
      <c r="W30" s="12" t="s">
        <v>77</v>
      </c>
      <c r="X30" s="14"/>
      <c r="Y30" s="18" t="s">
        <v>190</v>
      </c>
      <c r="Z30" s="18">
        <v>25</v>
      </c>
      <c r="AA30" s="18" t="s">
        <v>183</v>
      </c>
      <c r="AB30" s="1"/>
      <c r="AC30" s="1"/>
      <c r="AD30" s="1"/>
      <c r="AE30" s="1"/>
      <c r="AF30" s="11"/>
      <c r="AG30" s="18" t="s">
        <v>191</v>
      </c>
      <c r="AH30" s="18">
        <v>11</v>
      </c>
      <c r="AI30" s="18" t="s">
        <v>192</v>
      </c>
      <c r="AJ30" s="1"/>
      <c r="AK30" s="1"/>
      <c r="AL30" s="1"/>
      <c r="AM30" s="1"/>
      <c r="AN30" s="1"/>
      <c r="AO30" s="1"/>
      <c r="AP30" s="1"/>
      <c r="AQ30" s="1"/>
      <c r="AR30" s="1"/>
    </row>
    <row r="31" ht="14.25">
      <c r="A31" s="1"/>
      <c r="B31" s="8"/>
      <c r="C31" s="8"/>
      <c r="D31" s="9"/>
      <c r="E31" s="11"/>
      <c r="F31" s="18" t="s">
        <v>193</v>
      </c>
      <c r="G31" s="18">
        <v>6</v>
      </c>
      <c r="H31" s="13">
        <f t="shared" si="5"/>
        <v>10.714285714285714</v>
      </c>
      <c r="I31" s="14"/>
      <c r="J31" s="18" t="s">
        <v>48</v>
      </c>
      <c r="K31" s="18">
        <v>49</v>
      </c>
      <c r="L31" s="19">
        <f t="shared" si="6"/>
        <v>100</v>
      </c>
      <c r="M31" s="14"/>
      <c r="N31" s="18" t="s">
        <v>194</v>
      </c>
      <c r="O31" s="18">
        <v>1</v>
      </c>
      <c r="P31" s="13">
        <f t="shared" si="7"/>
        <v>3.0303030303030303</v>
      </c>
      <c r="Q31" s="14"/>
      <c r="R31" s="18" t="s">
        <v>195</v>
      </c>
      <c r="S31" s="18">
        <v>7</v>
      </c>
      <c r="T31" s="18">
        <v>7</v>
      </c>
      <c r="U31" s="18">
        <v>1</v>
      </c>
      <c r="V31" s="18">
        <v>13</v>
      </c>
      <c r="W31" s="18">
        <v>5</v>
      </c>
      <c r="X31" s="14"/>
      <c r="Y31" s="18" t="s">
        <v>196</v>
      </c>
      <c r="Z31" s="18">
        <v>24</v>
      </c>
      <c r="AA31" s="18" t="s">
        <v>197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ht="14.25">
      <c r="A32" s="11"/>
      <c r="B32" s="12" t="s">
        <v>8</v>
      </c>
      <c r="C32" s="12" t="s">
        <v>9</v>
      </c>
      <c r="D32" s="13" t="s">
        <v>10</v>
      </c>
      <c r="E32" s="14"/>
      <c r="F32" s="18" t="s">
        <v>198</v>
      </c>
      <c r="G32" s="18">
        <v>6</v>
      </c>
      <c r="H32" s="13">
        <f t="shared" si="5"/>
        <v>10.714285714285714</v>
      </c>
      <c r="I32" s="1"/>
      <c r="J32" s="1"/>
      <c r="K32" s="1"/>
      <c r="L32" s="3"/>
      <c r="M32" s="11"/>
      <c r="N32" s="18" t="s">
        <v>199</v>
      </c>
      <c r="O32" s="18">
        <v>1</v>
      </c>
      <c r="P32" s="13">
        <f t="shared" si="7"/>
        <v>3.0303030303030303</v>
      </c>
      <c r="Q32" s="14"/>
      <c r="R32" s="18" t="s">
        <v>200</v>
      </c>
      <c r="S32" s="18">
        <v>7</v>
      </c>
      <c r="T32" s="18">
        <v>7</v>
      </c>
      <c r="U32" s="18">
        <v>3</v>
      </c>
      <c r="V32" s="18">
        <v>9</v>
      </c>
      <c r="W32" s="18">
        <v>6</v>
      </c>
      <c r="X32" s="14"/>
      <c r="Y32" s="18" t="s">
        <v>201</v>
      </c>
      <c r="Z32" s="18">
        <v>19</v>
      </c>
      <c r="AA32" s="18" t="s">
        <v>202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4.25">
      <c r="A33" s="11"/>
      <c r="B33" s="28" t="s">
        <v>203</v>
      </c>
      <c r="C33" s="28">
        <v>14</v>
      </c>
      <c r="D33" s="29">
        <f t="shared" si="9"/>
        <v>20</v>
      </c>
      <c r="E33" s="14"/>
      <c r="F33" s="18" t="s">
        <v>48</v>
      </c>
      <c r="G33" s="18">
        <f>SUM(G24:G32)</f>
        <v>56</v>
      </c>
      <c r="H33" s="13">
        <f t="shared" si="5"/>
        <v>100</v>
      </c>
      <c r="I33" s="1"/>
      <c r="J33" s="8"/>
      <c r="K33" s="8"/>
      <c r="L33" s="10"/>
      <c r="M33" s="11"/>
      <c r="N33" s="18" t="s">
        <v>204</v>
      </c>
      <c r="O33" s="18">
        <v>1</v>
      </c>
      <c r="P33" s="13">
        <f t="shared" si="7"/>
        <v>3.0303030303030303</v>
      </c>
      <c r="Q33" s="14"/>
      <c r="R33" s="18" t="s">
        <v>205</v>
      </c>
      <c r="S33" s="18">
        <v>9</v>
      </c>
      <c r="T33" s="18">
        <v>15</v>
      </c>
      <c r="U33" s="18">
        <v>0</v>
      </c>
      <c r="V33" s="18">
        <v>5</v>
      </c>
      <c r="W33" s="18">
        <v>3</v>
      </c>
      <c r="X33" s="14"/>
      <c r="Y33" s="18" t="s">
        <v>206</v>
      </c>
      <c r="Z33" s="18">
        <v>16</v>
      </c>
      <c r="AA33" s="18" t="s">
        <v>207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4.25">
      <c r="A34" s="11"/>
      <c r="B34" s="18" t="s">
        <v>208</v>
      </c>
      <c r="C34" s="18">
        <v>20</v>
      </c>
      <c r="D34" s="13">
        <f t="shared" si="9"/>
        <v>28.571428571428569</v>
      </c>
      <c r="E34" s="1"/>
      <c r="F34" s="1"/>
      <c r="G34" s="1"/>
      <c r="H34" s="2"/>
      <c r="I34" s="11"/>
      <c r="J34" s="16" t="s">
        <v>8</v>
      </c>
      <c r="K34" s="16" t="s">
        <v>9</v>
      </c>
      <c r="L34" s="17" t="s">
        <v>10</v>
      </c>
      <c r="M34" s="14"/>
      <c r="N34" s="18" t="s">
        <v>209</v>
      </c>
      <c r="O34" s="18">
        <v>1</v>
      </c>
      <c r="P34" s="13">
        <f t="shared" si="7"/>
        <v>3.0303030303030303</v>
      </c>
      <c r="Q34" s="14"/>
      <c r="R34" s="18" t="s">
        <v>210</v>
      </c>
      <c r="S34" s="18">
        <v>4</v>
      </c>
      <c r="T34" s="18">
        <v>7</v>
      </c>
      <c r="U34" s="18">
        <v>3</v>
      </c>
      <c r="V34" s="18">
        <v>11</v>
      </c>
      <c r="W34" s="18">
        <v>7</v>
      </c>
      <c r="X34" s="14"/>
      <c r="Y34" s="18" t="s">
        <v>211</v>
      </c>
      <c r="Z34" s="18">
        <v>13</v>
      </c>
      <c r="AA34" s="18" t="s">
        <v>212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4.25">
      <c r="A35" s="11"/>
      <c r="B35" s="18" t="s">
        <v>213</v>
      </c>
      <c r="C35" s="18">
        <v>22</v>
      </c>
      <c r="D35" s="13">
        <f t="shared" si="9"/>
        <v>31.428571428571427</v>
      </c>
      <c r="E35" s="1"/>
      <c r="F35" s="8"/>
      <c r="G35" s="8"/>
      <c r="H35" s="9"/>
      <c r="I35" s="11"/>
      <c r="J35" s="18" t="s">
        <v>26</v>
      </c>
      <c r="K35" s="18">
        <v>10</v>
      </c>
      <c r="L35" s="19">
        <f t="shared" si="6"/>
        <v>20.408163265306122</v>
      </c>
      <c r="M35" s="1"/>
      <c r="N35" s="1"/>
      <c r="O35" s="1"/>
      <c r="P35" s="2"/>
      <c r="Q35" s="11"/>
      <c r="R35" s="18" t="s">
        <v>214</v>
      </c>
      <c r="S35" s="18">
        <v>6</v>
      </c>
      <c r="T35" s="18">
        <v>6</v>
      </c>
      <c r="U35" s="18">
        <v>4</v>
      </c>
      <c r="V35" s="18">
        <v>13</v>
      </c>
      <c r="W35" s="18">
        <v>3</v>
      </c>
      <c r="X35" s="14"/>
      <c r="Y35" s="18" t="s">
        <v>215</v>
      </c>
      <c r="Z35" s="18">
        <v>13</v>
      </c>
      <c r="AA35" s="18" t="s">
        <v>212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4.25">
      <c r="A36" s="11"/>
      <c r="B36" s="18" t="s">
        <v>216</v>
      </c>
      <c r="C36" s="18">
        <v>10</v>
      </c>
      <c r="D36" s="13">
        <f t="shared" si="9"/>
        <v>14.285714285714285</v>
      </c>
      <c r="E36" s="14"/>
      <c r="F36" s="16" t="s">
        <v>8</v>
      </c>
      <c r="G36" s="16" t="s">
        <v>9</v>
      </c>
      <c r="H36" s="17" t="s">
        <v>10</v>
      </c>
      <c r="I36" s="14"/>
      <c r="J36" s="18" t="s">
        <v>217</v>
      </c>
      <c r="K36" s="18">
        <v>9</v>
      </c>
      <c r="L36" s="19">
        <f t="shared" si="6"/>
        <v>18.367346938775512</v>
      </c>
      <c r="M36" s="1"/>
      <c r="N36" s="8"/>
      <c r="O36" s="8"/>
      <c r="P36" s="9"/>
      <c r="Q36" s="1"/>
      <c r="R36" s="1"/>
      <c r="S36" s="1"/>
      <c r="T36" s="1"/>
      <c r="U36" s="1"/>
      <c r="V36" s="1"/>
      <c r="W36" s="1"/>
      <c r="X36" s="11"/>
      <c r="Y36" s="18" t="s">
        <v>218</v>
      </c>
      <c r="Z36" s="18">
        <v>11</v>
      </c>
      <c r="AA36" s="18" t="s">
        <v>192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4.25">
      <c r="A37" s="11"/>
      <c r="B37" s="18" t="s">
        <v>219</v>
      </c>
      <c r="C37" s="18">
        <v>4</v>
      </c>
      <c r="D37" s="13">
        <f t="shared" si="9"/>
        <v>5.7142857142857144</v>
      </c>
      <c r="E37" s="14"/>
      <c r="F37" s="30" t="s">
        <v>220</v>
      </c>
      <c r="G37" s="30">
        <v>49</v>
      </c>
      <c r="H37" s="29">
        <f t="shared" si="5"/>
        <v>87.5</v>
      </c>
      <c r="I37" s="14"/>
      <c r="J37" s="18" t="s">
        <v>221</v>
      </c>
      <c r="K37" s="18">
        <v>8</v>
      </c>
      <c r="L37" s="19">
        <f t="shared" si="6"/>
        <v>16.326530612244898</v>
      </c>
      <c r="M37" s="14"/>
      <c r="N37" s="12" t="s">
        <v>222</v>
      </c>
      <c r="O37" s="16" t="s">
        <v>9</v>
      </c>
      <c r="P37" s="17" t="s">
        <v>10</v>
      </c>
      <c r="Q37" s="1"/>
      <c r="R37" s="8"/>
      <c r="S37" s="8"/>
      <c r="T37" s="8"/>
      <c r="U37" s="8"/>
      <c r="V37" s="8"/>
      <c r="W37" s="8"/>
      <c r="X37" s="11"/>
      <c r="Y37" s="18" t="s">
        <v>223</v>
      </c>
      <c r="Z37" s="18">
        <v>10</v>
      </c>
      <c r="AA37" s="18" t="s">
        <v>224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4.25">
      <c r="A38" s="11"/>
      <c r="B38" s="18" t="s">
        <v>225</v>
      </c>
      <c r="C38" s="18">
        <v>0</v>
      </c>
      <c r="D38" s="13">
        <f t="shared" si="9"/>
        <v>0</v>
      </c>
      <c r="E38" s="14"/>
      <c r="F38" s="18" t="s">
        <v>226</v>
      </c>
      <c r="G38" s="18">
        <v>7</v>
      </c>
      <c r="H38" s="13">
        <f t="shared" si="5"/>
        <v>12.5</v>
      </c>
      <c r="I38" s="14"/>
      <c r="J38" s="18" t="s">
        <v>227</v>
      </c>
      <c r="K38" s="18">
        <v>5</v>
      </c>
      <c r="L38" s="19">
        <f t="shared" si="6"/>
        <v>10.204081632653061</v>
      </c>
      <c r="M38" s="14"/>
      <c r="N38" s="18" t="s">
        <v>228</v>
      </c>
      <c r="O38" s="18">
        <v>9</v>
      </c>
      <c r="P38" s="13">
        <f t="shared" si="7"/>
        <v>27.27272727272727</v>
      </c>
      <c r="Q38" s="14"/>
      <c r="R38" s="12" t="s">
        <v>229</v>
      </c>
      <c r="S38" s="12" t="s">
        <v>230</v>
      </c>
      <c r="T38" s="12" t="s">
        <v>231</v>
      </c>
      <c r="U38" s="12" t="s">
        <v>76</v>
      </c>
      <c r="V38" s="12" t="s">
        <v>77</v>
      </c>
      <c r="W38" s="12" t="s">
        <v>73</v>
      </c>
      <c r="X38" s="14"/>
      <c r="Y38" s="18" t="s">
        <v>232</v>
      </c>
      <c r="Z38" s="18">
        <v>7</v>
      </c>
      <c r="AA38" s="18" t="s">
        <v>43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4.25">
      <c r="A39" s="11"/>
      <c r="B39" s="18" t="s">
        <v>233</v>
      </c>
      <c r="C39" s="18">
        <v>0</v>
      </c>
      <c r="D39" s="13">
        <f t="shared" si="9"/>
        <v>0</v>
      </c>
      <c r="E39" s="1"/>
      <c r="F39" s="1"/>
      <c r="G39" s="1"/>
      <c r="H39" s="2"/>
      <c r="I39" s="11"/>
      <c r="J39" s="18" t="s">
        <v>234</v>
      </c>
      <c r="K39" s="18">
        <v>4</v>
      </c>
      <c r="L39" s="19">
        <f t="shared" si="6"/>
        <v>8.1632653061224492</v>
      </c>
      <c r="M39" s="14"/>
      <c r="N39" s="18" t="s">
        <v>235</v>
      </c>
      <c r="O39" s="18">
        <v>7</v>
      </c>
      <c r="P39" s="13">
        <f t="shared" si="7"/>
        <v>21.212121212121211</v>
      </c>
      <c r="Q39" s="14"/>
      <c r="R39" s="18" t="s">
        <v>236</v>
      </c>
      <c r="S39" s="18">
        <v>8</v>
      </c>
      <c r="T39" s="18">
        <v>14</v>
      </c>
      <c r="U39" s="18">
        <v>9</v>
      </c>
      <c r="V39" s="18">
        <v>1</v>
      </c>
      <c r="W39" s="18">
        <v>0</v>
      </c>
      <c r="X39" s="14"/>
      <c r="Y39" s="18" t="s">
        <v>237</v>
      </c>
      <c r="Z39" s="18">
        <v>1</v>
      </c>
      <c r="AA39" s="18" t="s">
        <v>53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4.25">
      <c r="A40" s="11"/>
      <c r="B40" s="18" t="s">
        <v>61</v>
      </c>
      <c r="C40" s="18">
        <v>70</v>
      </c>
      <c r="D40" s="13">
        <f t="shared" si="9"/>
        <v>100</v>
      </c>
      <c r="E40" s="1"/>
      <c r="F40" s="1"/>
      <c r="G40" s="1"/>
      <c r="H40" s="1"/>
      <c r="I40" s="11"/>
      <c r="J40" s="18" t="s">
        <v>238</v>
      </c>
      <c r="K40" s="18">
        <v>3</v>
      </c>
      <c r="L40" s="19">
        <f t="shared" si="6"/>
        <v>6.1224489795918364</v>
      </c>
      <c r="M40" s="14"/>
      <c r="N40" s="18" t="s">
        <v>239</v>
      </c>
      <c r="O40" s="18">
        <v>5</v>
      </c>
      <c r="P40" s="13">
        <f t="shared" si="7"/>
        <v>15.151515151515152</v>
      </c>
      <c r="Q40" s="14"/>
      <c r="R40" s="18" t="s">
        <v>240</v>
      </c>
      <c r="S40" s="18">
        <v>10</v>
      </c>
      <c r="T40" s="18">
        <v>13</v>
      </c>
      <c r="U40" s="18">
        <v>8</v>
      </c>
      <c r="V40" s="18">
        <v>1</v>
      </c>
      <c r="W40" s="18"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4.25">
      <c r="A41" s="1"/>
      <c r="B41" s="1"/>
      <c r="C41" s="1"/>
      <c r="D41" s="2"/>
      <c r="E41" s="1"/>
      <c r="F41" s="1"/>
      <c r="G41" s="1"/>
      <c r="H41" s="1"/>
      <c r="I41" s="11"/>
      <c r="J41" s="18" t="s">
        <v>241</v>
      </c>
      <c r="K41" s="18">
        <v>2</v>
      </c>
      <c r="L41" s="19">
        <f t="shared" si="6"/>
        <v>4.0816326530612246</v>
      </c>
      <c r="M41" s="14"/>
      <c r="N41" s="18" t="s">
        <v>242</v>
      </c>
      <c r="O41" s="18">
        <v>4</v>
      </c>
      <c r="P41" s="13">
        <f t="shared" si="7"/>
        <v>12.121212121212121</v>
      </c>
      <c r="Q41" s="14"/>
      <c r="R41" s="18" t="s">
        <v>243</v>
      </c>
      <c r="S41" s="18">
        <v>11</v>
      </c>
      <c r="T41" s="18">
        <v>12</v>
      </c>
      <c r="U41" s="18">
        <v>7</v>
      </c>
      <c r="V41" s="18">
        <v>1</v>
      </c>
      <c r="W41" s="18">
        <v>1</v>
      </c>
      <c r="X41" s="1"/>
      <c r="Y41" s="8"/>
      <c r="Z41" s="8"/>
      <c r="AA41" s="8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4.25">
      <c r="A42" s="1"/>
      <c r="B42" s="8"/>
      <c r="C42" s="8"/>
      <c r="D42" s="9"/>
      <c r="E42" s="1"/>
      <c r="F42" s="1"/>
      <c r="G42" s="1"/>
      <c r="H42" s="1"/>
      <c r="I42" s="11"/>
      <c r="J42" s="18" t="s">
        <v>244</v>
      </c>
      <c r="K42" s="18">
        <v>1</v>
      </c>
      <c r="L42" s="19">
        <f t="shared" si="6"/>
        <v>2.0408163265306123</v>
      </c>
      <c r="M42" s="14"/>
      <c r="N42" s="18" t="s">
        <v>245</v>
      </c>
      <c r="O42" s="18">
        <v>2</v>
      </c>
      <c r="P42" s="13">
        <f t="shared" si="7"/>
        <v>6.0606060606060606</v>
      </c>
      <c r="Q42" s="14"/>
      <c r="R42" s="18" t="s">
        <v>246</v>
      </c>
      <c r="S42" s="18">
        <v>8</v>
      </c>
      <c r="T42" s="18">
        <v>14</v>
      </c>
      <c r="U42" s="18">
        <v>9</v>
      </c>
      <c r="V42" s="18">
        <v>1</v>
      </c>
      <c r="W42" s="18">
        <v>0</v>
      </c>
      <c r="X42" s="14"/>
      <c r="Y42" s="12" t="s">
        <v>247</v>
      </c>
      <c r="Z42" s="16" t="s">
        <v>9</v>
      </c>
      <c r="AA42" s="17" t="s">
        <v>10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4.25">
      <c r="A43" s="11"/>
      <c r="B43" s="12" t="s">
        <v>8</v>
      </c>
      <c r="C43" s="12" t="s">
        <v>9</v>
      </c>
      <c r="D43" s="13" t="s">
        <v>10</v>
      </c>
      <c r="E43" s="1"/>
      <c r="F43" s="1"/>
      <c r="G43" s="1"/>
      <c r="H43" s="1"/>
      <c r="I43" s="11"/>
      <c r="J43" s="18" t="s">
        <v>248</v>
      </c>
      <c r="K43" s="18">
        <v>1</v>
      </c>
      <c r="L43" s="19">
        <f t="shared" si="6"/>
        <v>2.0408163265306123</v>
      </c>
      <c r="M43" s="14"/>
      <c r="N43" s="18" t="s">
        <v>249</v>
      </c>
      <c r="O43" s="18">
        <v>1</v>
      </c>
      <c r="P43" s="13">
        <f t="shared" si="7"/>
        <v>3.0303030303030303</v>
      </c>
      <c r="Q43" s="14"/>
      <c r="R43" s="18" t="s">
        <v>250</v>
      </c>
      <c r="S43" s="18">
        <v>9</v>
      </c>
      <c r="T43" s="18">
        <v>12</v>
      </c>
      <c r="U43" s="18">
        <v>8</v>
      </c>
      <c r="V43" s="18">
        <v>1</v>
      </c>
      <c r="W43" s="18">
        <v>2</v>
      </c>
      <c r="X43" s="14"/>
      <c r="Y43" s="18" t="s">
        <v>191</v>
      </c>
      <c r="Z43" s="18">
        <v>32</v>
      </c>
      <c r="AA43" s="22">
        <v>1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4.25">
      <c r="A44" s="11"/>
      <c r="B44" s="18" t="s">
        <v>251</v>
      </c>
      <c r="C44" s="18">
        <v>16</v>
      </c>
      <c r="D44" s="13">
        <f t="shared" si="9"/>
        <v>22.857142857142858</v>
      </c>
      <c r="E44" s="1"/>
      <c r="F44" s="1"/>
      <c r="G44" s="1"/>
      <c r="H44" s="1"/>
      <c r="I44" s="11"/>
      <c r="J44" s="18" t="s">
        <v>105</v>
      </c>
      <c r="K44" s="18">
        <v>1</v>
      </c>
      <c r="L44" s="19">
        <f t="shared" si="6"/>
        <v>2.0408163265306123</v>
      </c>
      <c r="M44" s="14"/>
      <c r="N44" s="18" t="s">
        <v>252</v>
      </c>
      <c r="O44" s="18">
        <v>2</v>
      </c>
      <c r="P44" s="13">
        <f t="shared" si="7"/>
        <v>6.0606060606060606</v>
      </c>
      <c r="Q44" s="14"/>
      <c r="R44" s="18" t="s">
        <v>253</v>
      </c>
      <c r="S44" s="18">
        <v>8</v>
      </c>
      <c r="T44" s="18">
        <v>17</v>
      </c>
      <c r="U44" s="18">
        <v>6</v>
      </c>
      <c r="V44" s="18">
        <v>1</v>
      </c>
      <c r="W44" s="18">
        <v>0</v>
      </c>
      <c r="X44" s="14"/>
      <c r="Y44" s="18" t="s">
        <v>184</v>
      </c>
      <c r="Z44" s="18">
        <v>0</v>
      </c>
      <c r="AA44" s="22"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4.25">
      <c r="A45" s="11"/>
      <c r="B45" s="18" t="s">
        <v>254</v>
      </c>
      <c r="C45" s="18">
        <v>4</v>
      </c>
      <c r="D45" s="13">
        <f t="shared" si="9"/>
        <v>5.7142857142857144</v>
      </c>
      <c r="E45" s="1"/>
      <c r="F45" s="1"/>
      <c r="G45" s="1"/>
      <c r="H45" s="1"/>
      <c r="I45" s="11"/>
      <c r="J45" s="18" t="s">
        <v>255</v>
      </c>
      <c r="K45" s="18">
        <v>1</v>
      </c>
      <c r="L45" s="19">
        <f t="shared" si="6"/>
        <v>2.0408163265306123</v>
      </c>
      <c r="M45" s="14"/>
      <c r="N45" s="18" t="s">
        <v>256</v>
      </c>
      <c r="O45" s="18">
        <v>1</v>
      </c>
      <c r="P45" s="13">
        <f t="shared" si="7"/>
        <v>3.0303030303030303</v>
      </c>
      <c r="Q45" s="14"/>
      <c r="R45" s="18" t="s">
        <v>257</v>
      </c>
      <c r="S45" s="18">
        <v>9</v>
      </c>
      <c r="T45" s="18">
        <v>16</v>
      </c>
      <c r="U45" s="18">
        <v>6</v>
      </c>
      <c r="V45" s="18">
        <v>1</v>
      </c>
      <c r="W45" s="18">
        <v>0</v>
      </c>
      <c r="X45" s="1"/>
      <c r="Y45" s="23"/>
      <c r="Z45" s="23"/>
      <c r="AA45" s="23"/>
      <c r="AB45" s="8"/>
      <c r="AC45" s="8"/>
      <c r="AD45" s="8"/>
      <c r="AE45" s="8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4.25">
      <c r="A46" s="11"/>
      <c r="B46" s="18" t="s">
        <v>258</v>
      </c>
      <c r="C46" s="18">
        <v>2</v>
      </c>
      <c r="D46" s="13">
        <f t="shared" si="9"/>
        <v>2.8571428571428572</v>
      </c>
      <c r="E46" s="1"/>
      <c r="F46" s="1"/>
      <c r="G46" s="1"/>
      <c r="H46" s="1"/>
      <c r="I46" s="11"/>
      <c r="J46" s="18" t="s">
        <v>259</v>
      </c>
      <c r="K46" s="18">
        <v>1</v>
      </c>
      <c r="L46" s="19">
        <f t="shared" si="6"/>
        <v>2.0408163265306123</v>
      </c>
      <c r="M46" s="14"/>
      <c r="N46" s="18" t="s">
        <v>260</v>
      </c>
      <c r="O46" s="18">
        <v>2</v>
      </c>
      <c r="P46" s="13">
        <f t="shared" si="7"/>
        <v>6.0606060606060606</v>
      </c>
      <c r="Q46" s="14"/>
      <c r="R46" s="18" t="s">
        <v>261</v>
      </c>
      <c r="S46" s="18">
        <v>13</v>
      </c>
      <c r="T46" s="18">
        <v>10</v>
      </c>
      <c r="U46" s="18">
        <v>4</v>
      </c>
      <c r="V46" s="18">
        <v>5</v>
      </c>
      <c r="W46" s="18">
        <v>0</v>
      </c>
      <c r="X46" s="14"/>
      <c r="Y46" s="12" t="s">
        <v>13</v>
      </c>
      <c r="Z46" s="12" t="s">
        <v>134</v>
      </c>
      <c r="AA46" s="12" t="s">
        <v>133</v>
      </c>
      <c r="AB46" s="12" t="s">
        <v>58</v>
      </c>
      <c r="AC46" s="12" t="s">
        <v>132</v>
      </c>
      <c r="AD46" s="12" t="s">
        <v>131</v>
      </c>
      <c r="AE46" s="12" t="s">
        <v>262</v>
      </c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</row>
    <row r="47" ht="14.25">
      <c r="A47" s="11"/>
      <c r="B47" s="18" t="s">
        <v>263</v>
      </c>
      <c r="C47" s="18">
        <v>10</v>
      </c>
      <c r="D47" s="13">
        <f t="shared" si="9"/>
        <v>14.285714285714285</v>
      </c>
      <c r="E47" s="1"/>
      <c r="F47" s="1"/>
      <c r="G47" s="1"/>
      <c r="H47" s="1"/>
      <c r="I47" s="11"/>
      <c r="J47" s="18" t="s">
        <v>264</v>
      </c>
      <c r="K47" s="18">
        <v>1</v>
      </c>
      <c r="L47" s="19">
        <f t="shared" si="6"/>
        <v>2.0408163265306123</v>
      </c>
      <c r="M47" s="14"/>
      <c r="N47" s="18" t="s">
        <v>265</v>
      </c>
      <c r="O47" s="18">
        <v>1</v>
      </c>
      <c r="P47" s="13">
        <f t="shared" si="7"/>
        <v>3.0303030303030303</v>
      </c>
      <c r="Q47" s="14"/>
      <c r="R47" s="18" t="s">
        <v>266</v>
      </c>
      <c r="S47" s="18">
        <v>9</v>
      </c>
      <c r="T47" s="18">
        <v>15</v>
      </c>
      <c r="U47" s="18">
        <v>4</v>
      </c>
      <c r="V47" s="18">
        <v>1</v>
      </c>
      <c r="W47" s="18">
        <v>3</v>
      </c>
      <c r="X47" s="14"/>
      <c r="Y47" s="18" t="s">
        <v>267</v>
      </c>
      <c r="Z47" s="18">
        <v>32</v>
      </c>
      <c r="AA47" s="18">
        <v>28</v>
      </c>
      <c r="AB47" s="18">
        <v>5</v>
      </c>
      <c r="AC47" s="18">
        <v>1</v>
      </c>
      <c r="AD47" s="18">
        <v>0</v>
      </c>
      <c r="AE47" s="18">
        <v>2</v>
      </c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</row>
    <row r="48" ht="14.25">
      <c r="A48" s="11"/>
      <c r="B48" s="18" t="s">
        <v>268</v>
      </c>
      <c r="C48" s="18">
        <v>4</v>
      </c>
      <c r="D48" s="13">
        <f t="shared" si="9"/>
        <v>5.7142857142857144</v>
      </c>
      <c r="E48" s="1"/>
      <c r="F48" s="1"/>
      <c r="G48" s="1"/>
      <c r="H48" s="1"/>
      <c r="I48" s="11"/>
      <c r="J48" s="18" t="s">
        <v>269</v>
      </c>
      <c r="K48" s="18">
        <v>1</v>
      </c>
      <c r="L48" s="19">
        <f t="shared" si="6"/>
        <v>2.0408163265306123</v>
      </c>
      <c r="M48" s="14"/>
      <c r="N48" s="18" t="s">
        <v>270</v>
      </c>
      <c r="O48" s="18">
        <v>1</v>
      </c>
      <c r="P48" s="13">
        <f t="shared" si="7"/>
        <v>3.0303030303030303</v>
      </c>
      <c r="Q48" s="14"/>
      <c r="R48" s="18" t="s">
        <v>271</v>
      </c>
      <c r="S48" s="18">
        <v>11</v>
      </c>
      <c r="T48" s="18">
        <v>11</v>
      </c>
      <c r="U48" s="18">
        <v>7</v>
      </c>
      <c r="V48" s="18">
        <v>1</v>
      </c>
      <c r="W48" s="18">
        <v>2</v>
      </c>
      <c r="X48" s="14"/>
      <c r="Y48" s="18" t="s">
        <v>272</v>
      </c>
      <c r="Z48" s="18">
        <v>26</v>
      </c>
      <c r="AA48" s="18">
        <v>29</v>
      </c>
      <c r="AB48" s="18">
        <v>9</v>
      </c>
      <c r="AC48" s="18">
        <v>1</v>
      </c>
      <c r="AD48" s="18">
        <v>0</v>
      </c>
      <c r="AE48" s="18">
        <v>3</v>
      </c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</row>
    <row r="49" ht="14.25">
      <c r="A49" s="11"/>
      <c r="B49" s="18" t="s">
        <v>273</v>
      </c>
      <c r="C49" s="18">
        <v>1</v>
      </c>
      <c r="D49" s="13">
        <f t="shared" si="9"/>
        <v>1.4285714285714286</v>
      </c>
      <c r="E49" s="1"/>
      <c r="F49" s="1"/>
      <c r="G49" s="1"/>
      <c r="H49" s="1"/>
      <c r="I49" s="11"/>
      <c r="J49" s="18" t="s">
        <v>274</v>
      </c>
      <c r="K49" s="18">
        <v>1</v>
      </c>
      <c r="L49" s="19">
        <f t="shared" si="6"/>
        <v>2.0408163265306123</v>
      </c>
      <c r="M49" s="14"/>
      <c r="N49" s="18" t="s">
        <v>275</v>
      </c>
      <c r="O49" s="18">
        <v>1</v>
      </c>
      <c r="P49" s="13">
        <f t="shared" si="7"/>
        <v>3.0303030303030303</v>
      </c>
      <c r="Q49" s="14"/>
      <c r="R49" s="18" t="s">
        <v>276</v>
      </c>
      <c r="S49" s="18">
        <v>10</v>
      </c>
      <c r="T49" s="18">
        <v>14</v>
      </c>
      <c r="U49" s="18">
        <v>6</v>
      </c>
      <c r="V49" s="18">
        <v>1</v>
      </c>
      <c r="W49" s="18">
        <v>1</v>
      </c>
      <c r="X49" s="14"/>
      <c r="Y49" s="18" t="s">
        <v>277</v>
      </c>
      <c r="Z49" s="18">
        <v>22</v>
      </c>
      <c r="AA49" s="18">
        <v>26</v>
      </c>
      <c r="AB49" s="18">
        <v>10</v>
      </c>
      <c r="AC49" s="18">
        <v>5</v>
      </c>
      <c r="AD49" s="18">
        <v>0</v>
      </c>
      <c r="AE49" s="18">
        <v>5</v>
      </c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</row>
    <row r="50" ht="14.25">
      <c r="A50" s="11"/>
      <c r="B50" s="18" t="s">
        <v>278</v>
      </c>
      <c r="C50" s="18">
        <v>42</v>
      </c>
      <c r="D50" s="13">
        <f t="shared" si="9"/>
        <v>60</v>
      </c>
      <c r="E50" s="1"/>
      <c r="F50" s="1"/>
      <c r="G50" s="1"/>
      <c r="H50" s="1"/>
      <c r="I50" s="1"/>
      <c r="J50" s="23"/>
      <c r="K50" s="23"/>
      <c r="L50" s="26"/>
      <c r="M50" s="11"/>
      <c r="N50" s="18" t="s">
        <v>279</v>
      </c>
      <c r="O50" s="18">
        <v>1</v>
      </c>
      <c r="P50" s="13">
        <f t="shared" si="7"/>
        <v>3.0303030303030303</v>
      </c>
      <c r="Q50" s="14"/>
      <c r="R50" s="18" t="s">
        <v>280</v>
      </c>
      <c r="S50" s="18">
        <v>8</v>
      </c>
      <c r="T50" s="18">
        <v>15</v>
      </c>
      <c r="U50" s="18">
        <v>6</v>
      </c>
      <c r="V50" s="18">
        <v>1</v>
      </c>
      <c r="W50" s="18">
        <v>2</v>
      </c>
      <c r="X50" s="14"/>
      <c r="Y50" s="18" t="s">
        <v>281</v>
      </c>
      <c r="Z50" s="18">
        <v>25</v>
      </c>
      <c r="AA50" s="18">
        <v>26</v>
      </c>
      <c r="AB50" s="18">
        <v>7</v>
      </c>
      <c r="AC50" s="18">
        <v>1</v>
      </c>
      <c r="AD50" s="18">
        <v>0</v>
      </c>
      <c r="AE50" s="18">
        <v>9</v>
      </c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</row>
    <row r="51" ht="14.25">
      <c r="A51" s="11"/>
      <c r="B51" s="18" t="s">
        <v>61</v>
      </c>
      <c r="C51" s="18">
        <v>70</v>
      </c>
      <c r="D51" s="13">
        <f t="shared" si="9"/>
        <v>100</v>
      </c>
      <c r="E51" s="1"/>
      <c r="F51" s="1"/>
      <c r="G51" s="1"/>
      <c r="H51" s="1"/>
      <c r="I51" s="11"/>
      <c r="J51" s="16" t="s">
        <v>8</v>
      </c>
      <c r="K51" s="16" t="s">
        <v>9</v>
      </c>
      <c r="L51" s="17" t="s">
        <v>10</v>
      </c>
      <c r="M51" s="14"/>
      <c r="N51" s="18" t="s">
        <v>282</v>
      </c>
      <c r="O51" s="18">
        <v>1</v>
      </c>
      <c r="P51" s="13">
        <f t="shared" si="7"/>
        <v>3.0303030303030303</v>
      </c>
      <c r="Q51" s="14"/>
      <c r="R51" s="18" t="s">
        <v>283</v>
      </c>
      <c r="S51" s="18">
        <v>9</v>
      </c>
      <c r="T51" s="18">
        <v>15</v>
      </c>
      <c r="U51" s="18">
        <v>5</v>
      </c>
      <c r="V51" s="18">
        <v>1</v>
      </c>
      <c r="W51" s="18">
        <v>2</v>
      </c>
      <c r="X51" s="14"/>
      <c r="Y51" s="18" t="s">
        <v>284</v>
      </c>
      <c r="Z51" s="18">
        <v>13</v>
      </c>
      <c r="AA51" s="18">
        <v>26</v>
      </c>
      <c r="AB51" s="18">
        <v>15</v>
      </c>
      <c r="AC51" s="18">
        <v>6</v>
      </c>
      <c r="AD51" s="18">
        <v>0</v>
      </c>
      <c r="AE51" s="18">
        <v>8</v>
      </c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</row>
    <row r="52" ht="14.25">
      <c r="A52" s="1"/>
      <c r="B52" s="1"/>
      <c r="C52" s="1"/>
      <c r="D52" s="2"/>
      <c r="E52" s="1"/>
      <c r="F52" s="1"/>
      <c r="G52" s="1"/>
      <c r="H52" s="1"/>
      <c r="I52" s="11"/>
      <c r="J52" s="18" t="s">
        <v>285</v>
      </c>
      <c r="K52" s="18">
        <v>15</v>
      </c>
      <c r="L52" s="19">
        <f t="shared" si="6"/>
        <v>30.612244897959183</v>
      </c>
      <c r="M52" s="14"/>
      <c r="N52" s="18" t="s">
        <v>286</v>
      </c>
      <c r="O52" s="18">
        <v>1</v>
      </c>
      <c r="P52" s="13">
        <f t="shared" si="7"/>
        <v>3.0303030303030303</v>
      </c>
      <c r="Q52" s="14"/>
      <c r="R52" s="18" t="s">
        <v>287</v>
      </c>
      <c r="S52" s="18">
        <v>9</v>
      </c>
      <c r="T52" s="18">
        <v>16</v>
      </c>
      <c r="U52" s="18">
        <v>6</v>
      </c>
      <c r="V52" s="18">
        <v>1</v>
      </c>
      <c r="W52" s="18"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4.25">
      <c r="A53" s="1"/>
      <c r="B53" s="8"/>
      <c r="C53" s="8"/>
      <c r="D53" s="9"/>
      <c r="E53" s="1"/>
      <c r="F53" s="1"/>
      <c r="G53" s="1"/>
      <c r="H53" s="1"/>
      <c r="I53" s="11"/>
      <c r="J53" s="18" t="s">
        <v>288</v>
      </c>
      <c r="K53" s="18">
        <v>17</v>
      </c>
      <c r="L53" s="19">
        <f t="shared" si="6"/>
        <v>34.693877551020407</v>
      </c>
      <c r="M53" s="14"/>
      <c r="N53" s="18" t="s">
        <v>289</v>
      </c>
      <c r="O53" s="18">
        <v>2</v>
      </c>
      <c r="P53" s="13">
        <f t="shared" si="7"/>
        <v>6.0606060606060606</v>
      </c>
      <c r="Q53" s="14"/>
      <c r="R53" s="18" t="s">
        <v>290</v>
      </c>
      <c r="S53" s="18">
        <v>9</v>
      </c>
      <c r="T53" s="18">
        <v>14</v>
      </c>
      <c r="U53" s="18">
        <v>8</v>
      </c>
      <c r="V53" s="18">
        <v>1</v>
      </c>
      <c r="W53" s="18"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4.25">
      <c r="A54" s="11"/>
      <c r="B54" s="12" t="s">
        <v>8</v>
      </c>
      <c r="C54" s="12" t="s">
        <v>9</v>
      </c>
      <c r="D54" s="13" t="s">
        <v>10</v>
      </c>
      <c r="E54" s="1"/>
      <c r="F54" s="1"/>
      <c r="G54" s="1"/>
      <c r="H54" s="1"/>
      <c r="I54" s="11"/>
      <c r="J54" s="18" t="s">
        <v>291</v>
      </c>
      <c r="K54" s="18">
        <v>11</v>
      </c>
      <c r="L54" s="19">
        <f t="shared" si="6"/>
        <v>22.448979591836736</v>
      </c>
      <c r="M54" s="1"/>
      <c r="N54" s="1"/>
      <c r="O54" s="1"/>
      <c r="P54" s="2"/>
      <c r="Q54" s="11"/>
      <c r="R54" s="18" t="s">
        <v>292</v>
      </c>
      <c r="S54" s="18">
        <v>9</v>
      </c>
      <c r="T54" s="18">
        <v>18</v>
      </c>
      <c r="U54" s="18">
        <v>2</v>
      </c>
      <c r="V54" s="18">
        <v>2</v>
      </c>
      <c r="W54" s="18">
        <v>1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4.25">
      <c r="A55" s="11"/>
      <c r="B55" s="18" t="s">
        <v>293</v>
      </c>
      <c r="C55" s="18">
        <v>15</v>
      </c>
      <c r="D55" s="13">
        <f t="shared" si="9"/>
        <v>21.428571428571427</v>
      </c>
      <c r="E55" s="1"/>
      <c r="F55" s="1"/>
      <c r="G55" s="1"/>
      <c r="H55" s="1"/>
      <c r="I55" s="11"/>
      <c r="J55" s="18" t="s">
        <v>294</v>
      </c>
      <c r="K55" s="18">
        <v>4</v>
      </c>
      <c r="L55" s="19">
        <f t="shared" si="6"/>
        <v>8.1632653061224492</v>
      </c>
      <c r="M55" s="1"/>
      <c r="N55" s="1"/>
      <c r="O55" s="1"/>
      <c r="P55" s="2"/>
      <c r="Q55" s="11"/>
      <c r="R55" s="18" t="s">
        <v>295</v>
      </c>
      <c r="S55" s="18">
        <v>7</v>
      </c>
      <c r="T55" s="18">
        <v>17</v>
      </c>
      <c r="U55" s="18">
        <v>3</v>
      </c>
      <c r="V55" s="18">
        <v>1</v>
      </c>
      <c r="W55" s="18">
        <v>4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4.25">
      <c r="A56" s="11"/>
      <c r="B56" s="18" t="s">
        <v>296</v>
      </c>
      <c r="C56" s="18">
        <v>8</v>
      </c>
      <c r="D56" s="13">
        <f t="shared" si="9"/>
        <v>11.428571428571429</v>
      </c>
      <c r="E56" s="1"/>
      <c r="F56" s="1"/>
      <c r="G56" s="1"/>
      <c r="H56" s="1"/>
      <c r="I56" s="11"/>
      <c r="J56" s="18" t="s">
        <v>297</v>
      </c>
      <c r="K56" s="18">
        <v>2</v>
      </c>
      <c r="L56" s="19">
        <f t="shared" si="6"/>
        <v>4.0816326530612246</v>
      </c>
      <c r="M56" s="1"/>
      <c r="N56" s="8"/>
      <c r="O56" s="8"/>
      <c r="P56" s="9"/>
      <c r="Q56" s="11"/>
      <c r="R56" s="18" t="s">
        <v>298</v>
      </c>
      <c r="S56" s="18">
        <v>5</v>
      </c>
      <c r="T56" s="18">
        <v>19</v>
      </c>
      <c r="U56" s="18">
        <v>4</v>
      </c>
      <c r="V56" s="18">
        <v>2</v>
      </c>
      <c r="W56" s="18">
        <v>2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4.25">
      <c r="A57" s="11"/>
      <c r="B57" s="18" t="s">
        <v>299</v>
      </c>
      <c r="C57" s="18">
        <v>4</v>
      </c>
      <c r="D57" s="13">
        <f t="shared" si="9"/>
        <v>5.7142857142857144</v>
      </c>
      <c r="E57" s="1"/>
      <c r="F57" s="1"/>
      <c r="G57" s="1"/>
      <c r="H57" s="1"/>
      <c r="I57" s="11"/>
      <c r="J57" s="18" t="s">
        <v>48</v>
      </c>
      <c r="K57" s="18">
        <v>49</v>
      </c>
      <c r="L57" s="19">
        <f t="shared" si="6"/>
        <v>100</v>
      </c>
      <c r="M57" s="14"/>
      <c r="N57" s="12" t="s">
        <v>300</v>
      </c>
      <c r="O57" s="16" t="s">
        <v>9</v>
      </c>
      <c r="P57" s="17" t="s">
        <v>10</v>
      </c>
      <c r="Q57" s="14"/>
      <c r="R57" s="18" t="s">
        <v>301</v>
      </c>
      <c r="S57" s="18">
        <v>9</v>
      </c>
      <c r="T57" s="18">
        <v>15</v>
      </c>
      <c r="U57" s="18">
        <v>6</v>
      </c>
      <c r="V57" s="18">
        <v>1</v>
      </c>
      <c r="W57" s="18">
        <v>1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4.25">
      <c r="A58" s="11"/>
      <c r="B58" s="18" t="s">
        <v>302</v>
      </c>
      <c r="C58" s="18">
        <v>2</v>
      </c>
      <c r="D58" s="13">
        <f t="shared" si="9"/>
        <v>2.8571428571428572</v>
      </c>
      <c r="E58" s="1"/>
      <c r="F58" s="1"/>
      <c r="G58" s="1"/>
      <c r="H58" s="1"/>
      <c r="I58" s="1"/>
      <c r="J58" s="1"/>
      <c r="K58" s="1"/>
      <c r="L58" s="3"/>
      <c r="M58" s="11"/>
      <c r="N58" s="18" t="s">
        <v>303</v>
      </c>
      <c r="O58" s="18">
        <v>33</v>
      </c>
      <c r="P58" s="13">
        <f t="shared" si="7"/>
        <v>100</v>
      </c>
      <c r="Q58" s="14"/>
      <c r="R58" s="18" t="s">
        <v>304</v>
      </c>
      <c r="S58" s="18">
        <v>9</v>
      </c>
      <c r="T58" s="18">
        <v>14</v>
      </c>
      <c r="U58" s="18">
        <v>6</v>
      </c>
      <c r="V58" s="18">
        <v>1</v>
      </c>
      <c r="W58" s="18">
        <v>2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4.25">
      <c r="A59" s="11"/>
      <c r="B59" s="18" t="s">
        <v>305</v>
      </c>
      <c r="C59" s="18">
        <v>47</v>
      </c>
      <c r="D59" s="13">
        <f t="shared" si="9"/>
        <v>67.142857142857139</v>
      </c>
      <c r="E59" s="1"/>
      <c r="F59" s="1"/>
      <c r="G59" s="1"/>
      <c r="H59" s="1"/>
      <c r="I59" s="1"/>
      <c r="J59" s="8"/>
      <c r="K59" s="8"/>
      <c r="L59" s="10"/>
      <c r="M59" s="11"/>
      <c r="N59" s="18" t="s">
        <v>306</v>
      </c>
      <c r="O59" s="18">
        <v>25</v>
      </c>
      <c r="P59" s="13">
        <f t="shared" si="7"/>
        <v>75.757575757575751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4.25">
      <c r="A60" s="11"/>
      <c r="B60" s="18" t="s">
        <v>61</v>
      </c>
      <c r="C60" s="18">
        <v>70</v>
      </c>
      <c r="D60" s="13">
        <f t="shared" si="9"/>
        <v>100</v>
      </c>
      <c r="E60" s="1"/>
      <c r="F60" s="1"/>
      <c r="G60" s="1"/>
      <c r="H60" s="1"/>
      <c r="I60" s="11"/>
      <c r="J60" s="16" t="s">
        <v>8</v>
      </c>
      <c r="K60" s="16" t="s">
        <v>9</v>
      </c>
      <c r="L60" s="17" t="s">
        <v>10</v>
      </c>
      <c r="M60" s="14"/>
      <c r="N60" s="18" t="s">
        <v>307</v>
      </c>
      <c r="O60" s="18">
        <v>20</v>
      </c>
      <c r="P60" s="13">
        <f t="shared" si="7"/>
        <v>60.606060606060609</v>
      </c>
      <c r="Q60" s="1"/>
      <c r="R60" s="8"/>
      <c r="S60" s="8"/>
      <c r="T60" s="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4.25">
      <c r="A61" s="1"/>
      <c r="B61" s="1"/>
      <c r="C61" s="1"/>
      <c r="D61" s="2"/>
      <c r="E61" s="1"/>
      <c r="F61" s="1"/>
      <c r="G61" s="1"/>
      <c r="H61" s="1"/>
      <c r="I61" s="11"/>
      <c r="J61" s="18" t="s">
        <v>308</v>
      </c>
      <c r="K61" s="18">
        <v>12</v>
      </c>
      <c r="L61" s="19">
        <f t="shared" si="6"/>
        <v>24.489795918367346</v>
      </c>
      <c r="M61" s="14"/>
      <c r="N61" s="18" t="s">
        <v>309</v>
      </c>
      <c r="O61" s="18">
        <v>18</v>
      </c>
      <c r="P61" s="13">
        <f t="shared" si="7"/>
        <v>54.54545454545454</v>
      </c>
      <c r="Q61" s="14"/>
      <c r="R61" s="12" t="s">
        <v>8</v>
      </c>
      <c r="S61" s="12" t="s">
        <v>310</v>
      </c>
      <c r="T61" s="12" t="s">
        <v>311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4.25">
      <c r="A62" s="1"/>
      <c r="B62" s="1"/>
      <c r="C62" s="1"/>
      <c r="D62" s="2"/>
      <c r="E62" s="1"/>
      <c r="F62" s="1"/>
      <c r="G62" s="1"/>
      <c r="H62" s="1"/>
      <c r="I62" s="11"/>
      <c r="J62" s="18" t="s">
        <v>312</v>
      </c>
      <c r="K62" s="18">
        <v>14</v>
      </c>
      <c r="L62" s="19">
        <f t="shared" si="6"/>
        <v>28.571428571428569</v>
      </c>
      <c r="M62" s="14"/>
      <c r="N62" s="18" t="s">
        <v>313</v>
      </c>
      <c r="O62" s="18">
        <v>2</v>
      </c>
      <c r="P62" s="13">
        <f t="shared" si="7"/>
        <v>6.0606060606060606</v>
      </c>
      <c r="Q62" s="14"/>
      <c r="R62" s="18" t="s">
        <v>314</v>
      </c>
      <c r="S62" s="18" t="s">
        <v>315</v>
      </c>
      <c r="T62" s="18" t="s">
        <v>316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4.25">
      <c r="A63" s="1"/>
      <c r="B63" s="1"/>
      <c r="C63" s="1"/>
      <c r="D63" s="2"/>
      <c r="E63" s="1"/>
      <c r="F63" s="1"/>
      <c r="G63" s="1"/>
      <c r="H63" s="1"/>
      <c r="I63" s="11"/>
      <c r="J63" s="18" t="s">
        <v>317</v>
      </c>
      <c r="K63" s="18">
        <v>6</v>
      </c>
      <c r="L63" s="19">
        <f t="shared" si="6"/>
        <v>12.244897959183673</v>
      </c>
      <c r="M63" s="1"/>
      <c r="N63" s="1"/>
      <c r="O63" s="1"/>
      <c r="P63" s="2"/>
      <c r="Q63" s="11"/>
      <c r="R63" s="18" t="s">
        <v>318</v>
      </c>
      <c r="S63" s="18" t="s">
        <v>319</v>
      </c>
      <c r="T63" s="18" t="s">
        <v>320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4.25">
      <c r="A64" s="1"/>
      <c r="B64" s="1"/>
      <c r="C64" s="1"/>
      <c r="D64" s="2"/>
      <c r="E64" s="1"/>
      <c r="F64" s="1"/>
      <c r="G64" s="1"/>
      <c r="H64" s="1"/>
      <c r="I64" s="11"/>
      <c r="J64" s="18" t="s">
        <v>321</v>
      </c>
      <c r="K64" s="18">
        <v>5</v>
      </c>
      <c r="L64" s="19">
        <f t="shared" si="6"/>
        <v>10.204081632653061</v>
      </c>
      <c r="M64" s="1"/>
      <c r="N64" s="8"/>
      <c r="O64" s="8"/>
      <c r="P64" s="9"/>
      <c r="Q64" s="11"/>
      <c r="R64" s="18" t="s">
        <v>322</v>
      </c>
      <c r="S64" s="18" t="s">
        <v>323</v>
      </c>
      <c r="T64" s="18" t="s">
        <v>324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4.25">
      <c r="A65" s="1"/>
      <c r="B65" s="1"/>
      <c r="C65" s="1"/>
      <c r="D65" s="2"/>
      <c r="E65" s="1"/>
      <c r="F65" s="1"/>
      <c r="G65" s="1"/>
      <c r="H65" s="1"/>
      <c r="I65" s="11"/>
      <c r="J65" s="18" t="s">
        <v>325</v>
      </c>
      <c r="K65" s="18">
        <v>12</v>
      </c>
      <c r="L65" s="19">
        <f t="shared" si="6"/>
        <v>24.489795918367346</v>
      </c>
      <c r="M65" s="14"/>
      <c r="N65" s="12"/>
      <c r="O65" s="16" t="s">
        <v>9</v>
      </c>
      <c r="P65" s="17" t="s">
        <v>10</v>
      </c>
      <c r="Q65" s="14"/>
      <c r="R65" s="18" t="s">
        <v>326</v>
      </c>
      <c r="S65" s="18" t="s">
        <v>327</v>
      </c>
      <c r="T65" s="18" t="s">
        <v>328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4.25">
      <c r="A66" s="1"/>
      <c r="B66" s="1"/>
      <c r="C66" s="1"/>
      <c r="D66" s="2"/>
      <c r="E66" s="1"/>
      <c r="F66" s="1"/>
      <c r="G66" s="1"/>
      <c r="H66" s="1"/>
      <c r="I66" s="11"/>
      <c r="J66" s="18" t="s">
        <v>48</v>
      </c>
      <c r="K66" s="18">
        <v>49</v>
      </c>
      <c r="L66" s="19">
        <f t="shared" si="6"/>
        <v>100</v>
      </c>
      <c r="M66" s="14"/>
      <c r="N66" s="18" t="s">
        <v>329</v>
      </c>
      <c r="O66" s="18">
        <v>12</v>
      </c>
      <c r="P66" s="13">
        <f t="shared" si="7"/>
        <v>36.363636363636367</v>
      </c>
      <c r="Q66" s="14"/>
      <c r="R66" s="18" t="s">
        <v>330</v>
      </c>
      <c r="S66" s="18" t="s">
        <v>331</v>
      </c>
      <c r="T66" s="18" t="s">
        <v>332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4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3"/>
      <c r="M67" s="11"/>
      <c r="N67" s="18" t="s">
        <v>333</v>
      </c>
      <c r="O67" s="18">
        <v>12</v>
      </c>
      <c r="P67" s="13">
        <f t="shared" si="7"/>
        <v>36.363636363636367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4.25">
      <c r="A68" s="1"/>
      <c r="B68" s="1"/>
      <c r="C68" s="1"/>
      <c r="D68" s="2"/>
      <c r="E68" s="1"/>
      <c r="F68" s="1"/>
      <c r="G68" s="1"/>
      <c r="H68" s="1"/>
      <c r="I68" s="1"/>
      <c r="J68" s="8"/>
      <c r="K68" s="8"/>
      <c r="L68" s="10"/>
      <c r="M68" s="11"/>
      <c r="N68" s="18" t="s">
        <v>334</v>
      </c>
      <c r="O68" s="18">
        <v>4</v>
      </c>
      <c r="P68" s="13">
        <f t="shared" si="7"/>
        <v>12.121212121212121</v>
      </c>
      <c r="Q68" s="1"/>
      <c r="R68" s="8"/>
      <c r="S68" s="8"/>
      <c r="T68" s="8"/>
      <c r="U68" s="8"/>
      <c r="V68" s="8"/>
      <c r="W68" s="8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4.25">
      <c r="A69" s="1"/>
      <c r="B69" s="1"/>
      <c r="C69" s="1"/>
      <c r="D69" s="2"/>
      <c r="E69" s="1"/>
      <c r="F69" s="1"/>
      <c r="G69" s="1"/>
      <c r="H69" s="1"/>
      <c r="I69" s="11"/>
      <c r="J69" s="12" t="s">
        <v>335</v>
      </c>
      <c r="K69" s="12" t="s">
        <v>125</v>
      </c>
      <c r="L69" s="19" t="s">
        <v>10</v>
      </c>
      <c r="M69" s="14"/>
      <c r="N69" s="18" t="s">
        <v>336</v>
      </c>
      <c r="O69" s="18">
        <v>4</v>
      </c>
      <c r="P69" s="13">
        <f t="shared" si="7"/>
        <v>12.121212121212121</v>
      </c>
      <c r="Q69" s="14"/>
      <c r="R69" s="12" t="s">
        <v>337</v>
      </c>
      <c r="S69" s="33" t="s">
        <v>230</v>
      </c>
      <c r="T69" s="33" t="s">
        <v>231</v>
      </c>
      <c r="U69" s="33" t="s">
        <v>76</v>
      </c>
      <c r="V69" s="33" t="s">
        <v>77</v>
      </c>
      <c r="W69" s="33" t="s">
        <v>73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4.25">
      <c r="A70" s="1"/>
      <c r="B70" s="1"/>
      <c r="C70" s="1"/>
      <c r="D70" s="2"/>
      <c r="E70" s="1"/>
      <c r="F70" s="1"/>
      <c r="G70" s="1"/>
      <c r="H70" s="1"/>
      <c r="I70" s="11"/>
      <c r="J70" s="30" t="s">
        <v>191</v>
      </c>
      <c r="K70" s="30">
        <v>33</v>
      </c>
      <c r="L70" s="34">
        <f t="shared" si="6"/>
        <v>67.346938775510196</v>
      </c>
      <c r="M70" s="14"/>
      <c r="N70" s="18" t="s">
        <v>338</v>
      </c>
      <c r="O70" s="18">
        <v>1</v>
      </c>
      <c r="P70" s="13">
        <f t="shared" si="7"/>
        <v>3.0303030303030303</v>
      </c>
      <c r="Q70" s="14"/>
      <c r="R70" s="18" t="s">
        <v>339</v>
      </c>
      <c r="S70" s="20">
        <v>8</v>
      </c>
      <c r="T70" s="20">
        <v>2</v>
      </c>
      <c r="U70" s="20">
        <v>9</v>
      </c>
      <c r="V70" s="20">
        <v>4</v>
      </c>
      <c r="W70" s="20">
        <v>9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4.25">
      <c r="A71" s="1"/>
      <c r="B71" s="1"/>
      <c r="C71" s="1"/>
      <c r="D71" s="2"/>
      <c r="E71" s="1"/>
      <c r="F71" s="1"/>
      <c r="G71" s="1"/>
      <c r="H71" s="1"/>
      <c r="I71" s="11"/>
      <c r="J71" s="18" t="s">
        <v>184</v>
      </c>
      <c r="K71" s="18">
        <v>16</v>
      </c>
      <c r="L71" s="19">
        <f t="shared" si="6"/>
        <v>32.653061224489797</v>
      </c>
      <c r="M71" s="14"/>
      <c r="N71" s="18" t="s">
        <v>48</v>
      </c>
      <c r="O71" s="18">
        <v>33</v>
      </c>
      <c r="P71" s="13">
        <f t="shared" si="7"/>
        <v>100</v>
      </c>
      <c r="Q71" s="14"/>
      <c r="R71" s="18" t="s">
        <v>340</v>
      </c>
      <c r="S71" s="20">
        <v>9</v>
      </c>
      <c r="T71" s="20">
        <v>4</v>
      </c>
      <c r="U71" s="20">
        <v>7</v>
      </c>
      <c r="V71" s="20">
        <v>1</v>
      </c>
      <c r="W71" s="20">
        <v>11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4.25">
      <c r="A72" s="1"/>
      <c r="B72" s="1"/>
      <c r="C72" s="1"/>
      <c r="D72" s="2"/>
      <c r="E72" s="1"/>
      <c r="F72" s="1"/>
      <c r="G72" s="1"/>
      <c r="H72" s="1"/>
      <c r="I72" s="11"/>
      <c r="J72" s="18" t="s">
        <v>48</v>
      </c>
      <c r="K72" s="18">
        <v>49</v>
      </c>
      <c r="L72" s="19">
        <f t="shared" si="6"/>
        <v>100</v>
      </c>
      <c r="M72" s="1"/>
      <c r="N72" s="23"/>
      <c r="O72" s="23"/>
      <c r="P72" s="24"/>
      <c r="Q72" s="11"/>
      <c r="R72" s="18" t="s">
        <v>341</v>
      </c>
      <c r="S72" s="20">
        <v>9</v>
      </c>
      <c r="T72" s="20">
        <v>4</v>
      </c>
      <c r="U72" s="20">
        <v>4</v>
      </c>
      <c r="V72" s="20">
        <v>4</v>
      </c>
      <c r="W72" s="20">
        <v>11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4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3"/>
      <c r="M73" s="11"/>
      <c r="N73" s="35"/>
      <c r="O73" s="16" t="s">
        <v>9</v>
      </c>
      <c r="P73" s="17" t="s">
        <v>10</v>
      </c>
      <c r="Q73" s="14"/>
      <c r="R73" s="18" t="s">
        <v>342</v>
      </c>
      <c r="S73" s="20">
        <v>6</v>
      </c>
      <c r="T73" s="20">
        <v>6</v>
      </c>
      <c r="U73" s="20">
        <v>11</v>
      </c>
      <c r="V73" s="20">
        <v>1</v>
      </c>
      <c r="W73" s="20">
        <v>8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4.2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3"/>
      <c r="M74" s="11"/>
      <c r="N74" s="36" t="s">
        <v>343</v>
      </c>
      <c r="O74" s="36">
        <v>16</v>
      </c>
      <c r="P74" s="37">
        <f t="shared" si="7"/>
        <v>48.484848484848484</v>
      </c>
      <c r="Q74" s="14"/>
      <c r="R74" s="18" t="s">
        <v>344</v>
      </c>
      <c r="S74" s="20">
        <v>7</v>
      </c>
      <c r="T74" s="20">
        <v>3</v>
      </c>
      <c r="U74" s="20">
        <v>11</v>
      </c>
      <c r="V74" s="20">
        <v>2</v>
      </c>
      <c r="W74" s="20">
        <v>9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4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3"/>
      <c r="M75" s="11"/>
      <c r="N75" s="36" t="s">
        <v>345</v>
      </c>
      <c r="O75" s="36">
        <v>16</v>
      </c>
      <c r="P75" s="37">
        <f t="shared" si="7"/>
        <v>48.484848484848484</v>
      </c>
      <c r="Q75" s="14"/>
      <c r="R75" s="18" t="s">
        <v>346</v>
      </c>
      <c r="S75" s="20">
        <v>9</v>
      </c>
      <c r="T75" s="20">
        <v>3</v>
      </c>
      <c r="U75" s="20">
        <v>5</v>
      </c>
      <c r="V75" s="20">
        <v>3</v>
      </c>
      <c r="W75" s="20">
        <v>12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4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3"/>
      <c r="M76" s="11"/>
      <c r="N76" s="30" t="s">
        <v>347</v>
      </c>
      <c r="O76" s="30">
        <v>1</v>
      </c>
      <c r="P76" s="29">
        <f t="shared" si="7"/>
        <v>3.0303030303030303</v>
      </c>
      <c r="Q76" s="14"/>
      <c r="R76" s="18" t="s">
        <v>348</v>
      </c>
      <c r="S76" s="20">
        <v>7</v>
      </c>
      <c r="T76" s="20">
        <v>4</v>
      </c>
      <c r="U76" s="20">
        <v>10</v>
      </c>
      <c r="V76" s="20">
        <v>2</v>
      </c>
      <c r="W76" s="20">
        <v>9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4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3"/>
      <c r="M77" s="11"/>
      <c r="N77" s="36" t="s">
        <v>48</v>
      </c>
      <c r="O77" s="36">
        <v>33</v>
      </c>
      <c r="P77" s="37">
        <f t="shared" ref="P77" si="10">(O77/33)*100</f>
        <v>100</v>
      </c>
      <c r="Q77" s="14"/>
      <c r="R77" s="18" t="s">
        <v>349</v>
      </c>
      <c r="S77" s="20">
        <v>9</v>
      </c>
      <c r="T77" s="20">
        <v>2</v>
      </c>
      <c r="U77" s="20">
        <v>8</v>
      </c>
      <c r="V77" s="20">
        <v>3</v>
      </c>
      <c r="W77" s="20">
        <v>10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4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3"/>
      <c r="M78" s="1"/>
      <c r="N78" s="1"/>
      <c r="O78" s="1"/>
      <c r="P78" s="2"/>
      <c r="Q78" s="11"/>
      <c r="R78" s="18" t="s">
        <v>350</v>
      </c>
      <c r="S78" s="20">
        <v>7</v>
      </c>
      <c r="T78" s="20">
        <v>2</v>
      </c>
      <c r="U78" s="20">
        <v>13</v>
      </c>
      <c r="V78" s="20">
        <v>2</v>
      </c>
      <c r="W78" s="20">
        <v>8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4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3"/>
      <c r="M79" s="1"/>
      <c r="N79" s="1"/>
      <c r="O79" s="1"/>
      <c r="P79" s="2"/>
      <c r="Q79" s="11"/>
      <c r="R79" s="18" t="s">
        <v>351</v>
      </c>
      <c r="S79" s="20">
        <v>7</v>
      </c>
      <c r="T79" s="20">
        <v>3</v>
      </c>
      <c r="U79" s="20">
        <v>7</v>
      </c>
      <c r="V79" s="20">
        <v>5</v>
      </c>
      <c r="W79" s="20">
        <v>10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4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3"/>
      <c r="M80" s="1"/>
      <c r="N80" s="1"/>
      <c r="O80" s="1"/>
      <c r="P80" s="2"/>
      <c r="Q80" s="11"/>
      <c r="R80" s="18" t="s">
        <v>352</v>
      </c>
      <c r="S80" s="20">
        <v>7</v>
      </c>
      <c r="T80" s="20">
        <v>4</v>
      </c>
      <c r="U80" s="20">
        <v>6</v>
      </c>
      <c r="V80" s="20">
        <v>2</v>
      </c>
      <c r="W80" s="20">
        <v>13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4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3"/>
      <c r="M81" s="1"/>
      <c r="N81" s="1"/>
      <c r="O81" s="1"/>
      <c r="P81" s="2"/>
      <c r="Q81" s="11"/>
      <c r="R81" s="18" t="s">
        <v>353</v>
      </c>
      <c r="S81" s="20">
        <v>8</v>
      </c>
      <c r="T81" s="20">
        <v>5</v>
      </c>
      <c r="U81" s="20">
        <v>6</v>
      </c>
      <c r="V81" s="20">
        <v>3</v>
      </c>
      <c r="W81" s="20">
        <v>10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4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3"/>
      <c r="M82" s="1"/>
      <c r="N82" s="1"/>
      <c r="O82" s="1"/>
      <c r="P82" s="2"/>
      <c r="Q82" s="11"/>
      <c r="R82" s="18" t="s">
        <v>354</v>
      </c>
      <c r="S82" s="20">
        <v>6</v>
      </c>
      <c r="T82" s="20">
        <v>2</v>
      </c>
      <c r="U82" s="20">
        <v>12</v>
      </c>
      <c r="V82" s="20">
        <v>3</v>
      </c>
      <c r="W82" s="20">
        <v>9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4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3"/>
      <c r="M83" s="1"/>
      <c r="N83" s="1"/>
      <c r="O83" s="1"/>
      <c r="P83" s="2"/>
      <c r="Q83" s="11"/>
      <c r="R83" s="18" t="s">
        <v>355</v>
      </c>
      <c r="S83" s="20">
        <v>9</v>
      </c>
      <c r="T83" s="20">
        <v>0</v>
      </c>
      <c r="U83" s="20">
        <v>4</v>
      </c>
      <c r="V83" s="20">
        <v>3</v>
      </c>
      <c r="W83" s="20">
        <v>16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4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3"/>
      <c r="M84" s="1"/>
      <c r="N84" s="1"/>
      <c r="O84" s="1"/>
      <c r="P84" s="2"/>
      <c r="Q84" s="11"/>
      <c r="R84" s="18" t="s">
        <v>356</v>
      </c>
      <c r="S84" s="20">
        <v>7</v>
      </c>
      <c r="T84" s="20">
        <v>2</v>
      </c>
      <c r="U84" s="20">
        <v>9</v>
      </c>
      <c r="V84" s="20">
        <v>4</v>
      </c>
      <c r="W84" s="20">
        <v>10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4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3"/>
      <c r="M85" s="1"/>
      <c r="N85" s="1"/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4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3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4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3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4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3"/>
      <c r="M88" s="1"/>
      <c r="N88" s="1"/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4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3"/>
      <c r="M89" s="1"/>
      <c r="N89" s="1"/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4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3"/>
      <c r="M90" s="1"/>
      <c r="N90" s="1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4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3"/>
      <c r="M91" s="1"/>
      <c r="N91" s="1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4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3"/>
      <c r="M92" s="1"/>
      <c r="N92" s="1"/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4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3"/>
      <c r="M93" s="1"/>
      <c r="N93" s="1"/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4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3"/>
      <c r="M94" s="1"/>
      <c r="N94" s="1"/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4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3"/>
      <c r="M95" s="1"/>
      <c r="N95" s="1"/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4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3"/>
      <c r="M96" s="1"/>
      <c r="N96" s="1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4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3"/>
      <c r="M97" s="1"/>
      <c r="N97" s="1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4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3"/>
      <c r="M98" s="1"/>
      <c r="N98" s="1"/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4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3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4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3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4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3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4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3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4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3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4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3"/>
      <c r="M104" s="1"/>
      <c r="N104" s="1"/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4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3"/>
      <c r="M105" s="1"/>
      <c r="N105" s="1"/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4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3"/>
      <c r="M106" s="1"/>
      <c r="N106" s="1"/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4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3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4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3"/>
      <c r="M108" s="1"/>
      <c r="N108" s="1"/>
      <c r="O108" s="1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4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3"/>
      <c r="M109" s="1"/>
      <c r="N109" s="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4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3"/>
      <c r="M110" s="1"/>
      <c r="N110" s="1"/>
      <c r="O110" s="1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4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3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4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3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4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3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4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3"/>
      <c r="M114" s="1"/>
      <c r="N114" s="1"/>
      <c r="O114" s="1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4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3"/>
      <c r="M115" s="1"/>
      <c r="N115" s="1"/>
      <c r="O115" s="1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4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3"/>
      <c r="M116" s="1"/>
      <c r="N116" s="1"/>
      <c r="O116" s="1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4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3"/>
      <c r="M117" s="1"/>
      <c r="N117" s="1"/>
      <c r="O117" s="1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4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3"/>
      <c r="M118" s="1"/>
      <c r="N118" s="1"/>
      <c r="O118" s="1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4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3"/>
      <c r="M119" s="1"/>
      <c r="N119" s="1"/>
      <c r="O119" s="1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4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3"/>
      <c r="M120" s="1"/>
      <c r="N120" s="1"/>
      <c r="O120" s="1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4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3"/>
      <c r="M121" s="1"/>
      <c r="N121" s="1"/>
      <c r="O121" s="1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4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3"/>
      <c r="M122" s="1"/>
      <c r="N122" s="1"/>
      <c r="O122" s="1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4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3"/>
      <c r="M123" s="1"/>
      <c r="N123" s="1"/>
      <c r="O123" s="1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4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3"/>
      <c r="M124" s="1"/>
      <c r="N124" s="1"/>
      <c r="O124" s="1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4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3"/>
      <c r="M125" s="1"/>
      <c r="N125" s="1"/>
      <c r="O125" s="1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4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3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4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3"/>
      <c r="M127" s="1"/>
      <c r="N127" s="1"/>
      <c r="O127" s="1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4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3"/>
      <c r="M128" s="1"/>
      <c r="N128" s="1"/>
      <c r="O128" s="1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4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3"/>
      <c r="M129" s="1"/>
      <c r="N129" s="1"/>
      <c r="O129" s="1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4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3"/>
      <c r="M130" s="1"/>
      <c r="N130" s="1"/>
      <c r="O130" s="1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4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3"/>
      <c r="M131" s="1"/>
      <c r="N131" s="1"/>
      <c r="O131" s="1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4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3"/>
      <c r="M132" s="1"/>
      <c r="N132" s="1"/>
      <c r="O132" s="1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4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3"/>
      <c r="M133" s="1"/>
      <c r="N133" s="1"/>
      <c r="O133" s="1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4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3"/>
      <c r="M134" s="1"/>
      <c r="N134" s="1"/>
      <c r="O134" s="1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4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3"/>
      <c r="M135" s="1"/>
      <c r="N135" s="1"/>
      <c r="O135" s="1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4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3"/>
      <c r="M136" s="1"/>
      <c r="N136" s="1"/>
      <c r="O136" s="1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4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3"/>
      <c r="M137" s="1"/>
      <c r="N137" s="1"/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4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3"/>
      <c r="M138" s="1"/>
      <c r="N138" s="1"/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4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3"/>
      <c r="M139" s="1"/>
      <c r="N139" s="1"/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4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3"/>
      <c r="M140" s="1"/>
      <c r="N140" s="1"/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4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3"/>
      <c r="M141" s="1"/>
      <c r="N141" s="1"/>
      <c r="O141" s="1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4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3"/>
      <c r="M142" s="1"/>
      <c r="N142" s="1"/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4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3"/>
      <c r="M143" s="1"/>
      <c r="N143" s="1"/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4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3"/>
      <c r="M144" s="1"/>
      <c r="N144" s="1"/>
      <c r="O144" s="1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4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3"/>
      <c r="M145" s="1"/>
      <c r="N145" s="1"/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4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3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4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3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4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3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4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3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4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3"/>
      <c r="M150" s="1"/>
      <c r="N150" s="1"/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4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3"/>
      <c r="M151" s="1"/>
      <c r="N151" s="1"/>
      <c r="O151" s="1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4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3"/>
      <c r="M152" s="1"/>
      <c r="N152" s="1"/>
      <c r="O152" s="1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4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3"/>
      <c r="M153" s="1"/>
      <c r="N153" s="1"/>
      <c r="O153" s="1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4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3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4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3"/>
      <c r="M155" s="1"/>
      <c r="N155" s="1"/>
      <c r="O155" s="1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4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3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4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3"/>
      <c r="M157" s="1"/>
      <c r="N157" s="1"/>
      <c r="O157" s="1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4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3"/>
      <c r="M158" s="1"/>
      <c r="N158" s="1"/>
      <c r="O158" s="1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4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3"/>
      <c r="M159" s="1"/>
      <c r="N159" s="1"/>
      <c r="O159" s="1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4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3"/>
      <c r="M160" s="1"/>
      <c r="N160" s="1"/>
      <c r="O160" s="1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4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3"/>
      <c r="M161" s="1"/>
      <c r="N161" s="1"/>
      <c r="O161" s="1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4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3"/>
      <c r="M162" s="1"/>
      <c r="N162" s="1"/>
      <c r="O162" s="1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4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3"/>
      <c r="M163" s="1"/>
      <c r="N163" s="1"/>
      <c r="O163" s="1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4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3"/>
      <c r="M164" s="1"/>
      <c r="N164" s="1"/>
      <c r="O164" s="1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4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3"/>
      <c r="M165" s="1"/>
      <c r="N165" s="1"/>
      <c r="O165" s="1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4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3"/>
      <c r="M166" s="1"/>
      <c r="N166" s="1"/>
      <c r="O166" s="1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4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3"/>
      <c r="M167" s="1"/>
      <c r="N167" s="1"/>
      <c r="O167" s="1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4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3"/>
      <c r="M168" s="1"/>
      <c r="N168" s="1"/>
      <c r="O168" s="1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4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3"/>
      <c r="M169" s="1"/>
      <c r="N169" s="1"/>
      <c r="O169" s="1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4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3"/>
      <c r="M170" s="1"/>
      <c r="N170" s="1"/>
      <c r="O170" s="1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4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3"/>
      <c r="M171" s="1"/>
      <c r="N171" s="1"/>
      <c r="O171" s="1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4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3"/>
      <c r="M172" s="1"/>
      <c r="N172" s="1"/>
      <c r="O172" s="1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4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3"/>
      <c r="M173" s="1"/>
      <c r="N173" s="1"/>
      <c r="O173" s="1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4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3"/>
      <c r="M174" s="1"/>
      <c r="N174" s="1"/>
      <c r="O174" s="1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4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3"/>
      <c r="M175" s="1"/>
      <c r="N175" s="1"/>
      <c r="O175" s="1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4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3"/>
      <c r="M176" s="1"/>
      <c r="N176" s="1"/>
      <c r="O176" s="1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4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3"/>
      <c r="M177" s="1"/>
      <c r="N177" s="1"/>
      <c r="O177" s="1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4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3"/>
      <c r="M178" s="1"/>
      <c r="N178" s="1"/>
      <c r="O178" s="1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4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3"/>
      <c r="M179" s="1"/>
      <c r="N179" s="1"/>
      <c r="O179" s="1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4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3"/>
      <c r="M180" s="1"/>
      <c r="N180" s="1"/>
      <c r="O180" s="1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4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3"/>
      <c r="M181" s="1"/>
      <c r="N181" s="1"/>
      <c r="O181" s="1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4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3"/>
      <c r="M182" s="1"/>
      <c r="N182" s="1"/>
      <c r="O182" s="1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4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3"/>
      <c r="M183" s="1"/>
      <c r="N183" s="1"/>
      <c r="O183" s="1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4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3"/>
      <c r="M184" s="1"/>
      <c r="N184" s="1"/>
      <c r="O184" s="1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4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3"/>
      <c r="M185" s="1"/>
      <c r="N185" s="1"/>
      <c r="O185" s="1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4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3"/>
      <c r="M186" s="1"/>
      <c r="N186" s="1"/>
      <c r="O186" s="1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4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3"/>
      <c r="M187" s="1"/>
      <c r="N187" s="1"/>
      <c r="O187" s="1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4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3"/>
      <c r="M188" s="1"/>
      <c r="N188" s="1"/>
      <c r="O188" s="1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4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3"/>
      <c r="M189" s="1"/>
      <c r="N189" s="1"/>
      <c r="O189" s="1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4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3"/>
      <c r="M190" s="1"/>
      <c r="N190" s="1"/>
      <c r="O190" s="1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4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3"/>
      <c r="M191" s="1"/>
      <c r="N191" s="1"/>
      <c r="O191" s="1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4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3"/>
      <c r="M192" s="1"/>
      <c r="N192" s="1"/>
      <c r="O192" s="1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4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3"/>
      <c r="M193" s="1"/>
      <c r="N193" s="1"/>
      <c r="O193" s="1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4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3"/>
      <c r="M194" s="1"/>
      <c r="N194" s="1"/>
      <c r="O194" s="1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4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3"/>
      <c r="M195" s="1"/>
      <c r="N195" s="1"/>
      <c r="O195" s="1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4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3"/>
      <c r="M196" s="1"/>
      <c r="N196" s="1"/>
      <c r="O196" s="1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4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3"/>
      <c r="M197" s="1"/>
      <c r="N197" s="1"/>
      <c r="O197" s="1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4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3"/>
      <c r="M198" s="1"/>
      <c r="N198" s="1"/>
      <c r="O198" s="1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4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3"/>
      <c r="M199" s="1"/>
      <c r="N199" s="1"/>
      <c r="O199" s="1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4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3"/>
      <c r="M200" s="1"/>
      <c r="N200" s="1"/>
      <c r="O200" s="1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4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3"/>
      <c r="M201" s="1"/>
      <c r="N201" s="1"/>
      <c r="O201" s="1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4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3"/>
      <c r="M202" s="1"/>
      <c r="N202" s="1"/>
      <c r="O202" s="1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4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3"/>
      <c r="M203" s="1"/>
      <c r="N203" s="1"/>
      <c r="O203" s="1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4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3"/>
      <c r="M204" s="1"/>
      <c r="N204" s="1"/>
      <c r="O204" s="1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4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3"/>
      <c r="M205" s="1"/>
      <c r="N205" s="1"/>
      <c r="O205" s="1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4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3"/>
      <c r="M206" s="1"/>
      <c r="N206" s="1"/>
      <c r="O206" s="1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4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3"/>
      <c r="M207" s="1"/>
      <c r="N207" s="1"/>
      <c r="O207" s="1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4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3"/>
      <c r="M208" s="1"/>
      <c r="N208" s="1"/>
      <c r="O208" s="1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4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3"/>
      <c r="M209" s="1"/>
      <c r="N209" s="1"/>
      <c r="O209" s="1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4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3"/>
      <c r="M210" s="1"/>
      <c r="N210" s="1"/>
      <c r="O210" s="1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4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3"/>
      <c r="M211" s="1"/>
      <c r="N211" s="1"/>
      <c r="O211" s="1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4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3"/>
      <c r="M212" s="1"/>
      <c r="N212" s="1"/>
      <c r="O212" s="1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4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3"/>
      <c r="M213" s="1"/>
      <c r="N213" s="1"/>
      <c r="O213" s="1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4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3"/>
      <c r="M214" s="1"/>
      <c r="N214" s="1"/>
      <c r="O214" s="1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4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3"/>
      <c r="M215" s="1"/>
      <c r="N215" s="1"/>
      <c r="O215" s="1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4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3"/>
      <c r="M216" s="1"/>
      <c r="N216" s="1"/>
      <c r="O216" s="1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4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3"/>
      <c r="M217" s="1"/>
      <c r="N217" s="1"/>
      <c r="O217" s="1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4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3"/>
      <c r="M218" s="1"/>
      <c r="N218" s="1"/>
      <c r="O218" s="1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4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3"/>
      <c r="M219" s="1"/>
      <c r="N219" s="1"/>
      <c r="O219" s="1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4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3"/>
      <c r="M220" s="1"/>
      <c r="N220" s="1"/>
      <c r="O220" s="1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4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3"/>
      <c r="M221" s="1"/>
      <c r="N221" s="1"/>
      <c r="O221" s="1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4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3"/>
      <c r="M222" s="1"/>
      <c r="N222" s="1"/>
      <c r="O222" s="1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4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3"/>
      <c r="M223" s="1"/>
      <c r="N223" s="1"/>
      <c r="O223" s="1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4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3"/>
      <c r="M224" s="1"/>
      <c r="N224" s="1"/>
      <c r="O224" s="1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4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3"/>
      <c r="M225" s="1"/>
      <c r="N225" s="1"/>
      <c r="O225" s="1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4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3"/>
      <c r="M226" s="1"/>
      <c r="N226" s="1"/>
      <c r="O226" s="1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4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3"/>
      <c r="M227" s="1"/>
      <c r="N227" s="1"/>
      <c r="O227" s="1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4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3"/>
      <c r="M228" s="1"/>
      <c r="N228" s="1"/>
      <c r="O228" s="1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4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3"/>
      <c r="M229" s="1"/>
      <c r="N229" s="1"/>
      <c r="O229" s="1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4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3"/>
      <c r="M230" s="1"/>
      <c r="N230" s="1"/>
      <c r="O230" s="1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4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3"/>
      <c r="M231" s="1"/>
      <c r="N231" s="1"/>
      <c r="O231" s="1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4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3"/>
      <c r="M232" s="1"/>
      <c r="N232" s="1"/>
      <c r="O232" s="1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4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3"/>
      <c r="M233" s="1"/>
      <c r="N233" s="1"/>
      <c r="O233" s="1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4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3"/>
      <c r="M234" s="1"/>
      <c r="N234" s="1"/>
      <c r="O234" s="1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4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3"/>
      <c r="M235" s="1"/>
      <c r="N235" s="1"/>
      <c r="O235" s="1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4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3"/>
      <c r="M236" s="1"/>
      <c r="N236" s="1"/>
      <c r="O236" s="1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4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3"/>
      <c r="M237" s="1"/>
      <c r="N237" s="1"/>
      <c r="O237" s="1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4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4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4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4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4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4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4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4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3"/>
      <c r="M245" s="1"/>
      <c r="N245" s="1"/>
      <c r="O245" s="1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4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3"/>
      <c r="M246" s="1"/>
      <c r="N246" s="1"/>
      <c r="O246" s="1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4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3"/>
      <c r="M247" s="1"/>
      <c r="N247" s="1"/>
      <c r="O247" s="1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4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3"/>
      <c r="M248" s="1"/>
      <c r="N248" s="1"/>
      <c r="O248" s="1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4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3"/>
      <c r="M249" s="1"/>
      <c r="N249" s="1"/>
      <c r="O249" s="1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4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3"/>
      <c r="M250" s="1"/>
      <c r="N250" s="1"/>
      <c r="O250" s="1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4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3"/>
      <c r="M251" s="1"/>
      <c r="N251" s="1"/>
      <c r="O251" s="1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4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3"/>
      <c r="M252" s="1"/>
      <c r="N252" s="1"/>
      <c r="O252" s="1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4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3"/>
      <c r="M253" s="1"/>
      <c r="N253" s="1"/>
      <c r="O253" s="1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4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3"/>
      <c r="M254" s="1"/>
      <c r="N254" s="1"/>
      <c r="O254" s="1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4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3"/>
      <c r="M255" s="1"/>
      <c r="N255" s="1"/>
      <c r="O255" s="1"/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4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3"/>
      <c r="M256" s="1"/>
      <c r="N256" s="1"/>
      <c r="O256" s="1"/>
      <c r="P256" s="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4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3"/>
      <c r="M257" s="1"/>
      <c r="N257" s="1"/>
      <c r="O257" s="1"/>
      <c r="P257" s="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4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3"/>
      <c r="M258" s="1"/>
      <c r="N258" s="1"/>
      <c r="O258" s="1"/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4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3"/>
      <c r="M259" s="1"/>
      <c r="N259" s="1"/>
      <c r="O259" s="1"/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4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3"/>
      <c r="M260" s="1"/>
      <c r="N260" s="1"/>
      <c r="O260" s="1"/>
      <c r="P260" s="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4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3"/>
      <c r="M261" s="1"/>
      <c r="N261" s="1"/>
      <c r="O261" s="1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4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3"/>
      <c r="M262" s="1"/>
      <c r="N262" s="1"/>
      <c r="O262" s="1"/>
      <c r="P262" s="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4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3"/>
      <c r="M263" s="1"/>
      <c r="N263" s="1"/>
      <c r="O263" s="1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4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3"/>
      <c r="M264" s="1"/>
      <c r="N264" s="1"/>
      <c r="O264" s="1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4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3"/>
      <c r="M265" s="1"/>
      <c r="N265" s="1"/>
      <c r="O265" s="1"/>
      <c r="P265" s="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4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3"/>
      <c r="M266" s="1"/>
      <c r="N266" s="1"/>
      <c r="O266" s="1"/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4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3"/>
      <c r="M267" s="1"/>
      <c r="N267" s="1"/>
      <c r="O267" s="1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4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3"/>
      <c r="M268" s="1"/>
      <c r="N268" s="1"/>
      <c r="O268" s="1"/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4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3"/>
      <c r="M269" s="1"/>
      <c r="N269" s="1"/>
      <c r="O269" s="1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4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3"/>
      <c r="M270" s="1"/>
      <c r="N270" s="1"/>
      <c r="O270" s="1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4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3"/>
      <c r="M271" s="1"/>
      <c r="N271" s="1"/>
      <c r="O271" s="1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4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3"/>
      <c r="M272" s="1"/>
      <c r="N272" s="1"/>
      <c r="O272" s="1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4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3"/>
      <c r="M273" s="1"/>
      <c r="N273" s="1"/>
      <c r="O273" s="1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4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3"/>
      <c r="M274" s="1"/>
      <c r="N274" s="1"/>
      <c r="O274" s="1"/>
      <c r="P274" s="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4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3"/>
      <c r="M275" s="1"/>
      <c r="N275" s="1"/>
      <c r="O275" s="1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4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3"/>
      <c r="M276" s="1"/>
      <c r="N276" s="1"/>
      <c r="O276" s="1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4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3"/>
      <c r="M277" s="1"/>
      <c r="N277" s="1"/>
      <c r="O277" s="1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4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3"/>
      <c r="M278" s="1"/>
      <c r="N278" s="1"/>
      <c r="O278" s="1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4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3"/>
      <c r="M279" s="1"/>
      <c r="N279" s="1"/>
      <c r="O279" s="1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4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3"/>
      <c r="M280" s="1"/>
      <c r="N280" s="1"/>
      <c r="O280" s="1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4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3"/>
      <c r="M281" s="1"/>
      <c r="N281" s="1"/>
      <c r="O281" s="1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4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3"/>
      <c r="M282" s="1"/>
      <c r="N282" s="1"/>
      <c r="O282" s="1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4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3"/>
      <c r="M283" s="1"/>
      <c r="N283" s="1"/>
      <c r="O283" s="1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4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3"/>
      <c r="M284" s="1"/>
      <c r="N284" s="1"/>
      <c r="O284" s="1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4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3"/>
      <c r="M285" s="1"/>
      <c r="N285" s="1"/>
      <c r="O285" s="1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4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3"/>
      <c r="M286" s="1"/>
      <c r="N286" s="1"/>
      <c r="O286" s="1"/>
      <c r="P286" s="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4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3"/>
      <c r="M287" s="1"/>
      <c r="N287" s="1"/>
      <c r="O287" s="1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4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3"/>
      <c r="M288" s="1"/>
      <c r="N288" s="1"/>
      <c r="O288" s="1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4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3"/>
      <c r="M289" s="1"/>
      <c r="N289" s="1"/>
      <c r="O289" s="1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4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3"/>
      <c r="M290" s="1"/>
      <c r="N290" s="1"/>
      <c r="O290" s="1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4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3"/>
      <c r="M291" s="1"/>
      <c r="N291" s="1"/>
      <c r="O291" s="1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4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3"/>
      <c r="M292" s="1"/>
      <c r="N292" s="1"/>
      <c r="O292" s="1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4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3"/>
      <c r="M293" s="1"/>
      <c r="N293" s="1"/>
      <c r="O293" s="1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4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3"/>
      <c r="M294" s="1"/>
      <c r="N294" s="1"/>
      <c r="O294" s="1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4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3"/>
      <c r="M295" s="1"/>
      <c r="N295" s="1"/>
      <c r="O295" s="1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4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3"/>
      <c r="M296" s="1"/>
      <c r="N296" s="1"/>
      <c r="O296" s="1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4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3"/>
      <c r="M297" s="1"/>
      <c r="N297" s="1"/>
      <c r="O297" s="1"/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4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3"/>
      <c r="M298" s="1"/>
      <c r="N298" s="1"/>
      <c r="O298" s="1"/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4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3"/>
      <c r="M299" s="1"/>
      <c r="N299" s="1"/>
      <c r="O299" s="1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4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3"/>
      <c r="M300" s="1"/>
      <c r="N300" s="1"/>
      <c r="O300" s="1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4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3"/>
      <c r="M301" s="1"/>
      <c r="N301" s="1"/>
      <c r="O301" s="1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4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3"/>
      <c r="M302" s="1"/>
      <c r="N302" s="1"/>
      <c r="O302" s="1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4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3"/>
      <c r="M303" s="1"/>
      <c r="N303" s="1"/>
      <c r="O303" s="1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4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3"/>
      <c r="M304" s="1"/>
      <c r="N304" s="1"/>
      <c r="O304" s="1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4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3"/>
      <c r="M305" s="1"/>
      <c r="N305" s="1"/>
      <c r="O305" s="1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4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3"/>
      <c r="M306" s="1"/>
      <c r="N306" s="1"/>
      <c r="O306" s="1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4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3"/>
      <c r="M307" s="1"/>
      <c r="N307" s="1"/>
      <c r="O307" s="1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4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3"/>
      <c r="M308" s="1"/>
      <c r="N308" s="1"/>
      <c r="O308" s="1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4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3"/>
      <c r="M309" s="1"/>
      <c r="N309" s="1"/>
      <c r="O309" s="1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4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3"/>
      <c r="M310" s="1"/>
      <c r="N310" s="1"/>
      <c r="O310" s="1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4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3"/>
      <c r="M311" s="1"/>
      <c r="N311" s="1"/>
      <c r="O311" s="1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4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3"/>
      <c r="M312" s="1"/>
      <c r="N312" s="1"/>
      <c r="O312" s="1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4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3"/>
      <c r="M313" s="1"/>
      <c r="N313" s="1"/>
      <c r="O313" s="1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4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3"/>
      <c r="M314" s="1"/>
      <c r="N314" s="1"/>
      <c r="O314" s="1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4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3"/>
      <c r="M315" s="1"/>
      <c r="N315" s="1"/>
      <c r="O315" s="1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4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3"/>
      <c r="M316" s="1"/>
      <c r="N316" s="1"/>
      <c r="O316" s="1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4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3"/>
      <c r="M317" s="1"/>
      <c r="N317" s="1"/>
      <c r="O317" s="1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4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3"/>
      <c r="M318" s="1"/>
      <c r="N318" s="1"/>
      <c r="O318" s="1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4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3"/>
      <c r="M319" s="1"/>
      <c r="N319" s="1"/>
      <c r="O319" s="1"/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4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3"/>
      <c r="M320" s="1"/>
      <c r="N320" s="1"/>
      <c r="O320" s="1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4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3"/>
      <c r="M321" s="1"/>
      <c r="N321" s="1"/>
      <c r="O321" s="1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4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3"/>
      <c r="M322" s="1"/>
      <c r="N322" s="1"/>
      <c r="O322" s="1"/>
      <c r="P322" s="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4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3"/>
      <c r="M323" s="1"/>
      <c r="N323" s="1"/>
      <c r="O323" s="1"/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4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3"/>
      <c r="M324" s="1"/>
      <c r="N324" s="1"/>
      <c r="O324" s="1"/>
      <c r="P324" s="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4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3"/>
      <c r="M325" s="1"/>
      <c r="N325" s="1"/>
      <c r="O325" s="1"/>
      <c r="P325" s="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4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3"/>
      <c r="M326" s="1"/>
      <c r="N326" s="1"/>
      <c r="O326" s="1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4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3"/>
      <c r="M327" s="1"/>
      <c r="N327" s="1"/>
      <c r="O327" s="1"/>
      <c r="P327" s="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4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3"/>
      <c r="M328" s="1"/>
      <c r="N328" s="1"/>
      <c r="O328" s="1"/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4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3"/>
      <c r="M329" s="1"/>
      <c r="N329" s="1"/>
      <c r="O329" s="1"/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4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3"/>
      <c r="M330" s="1"/>
      <c r="N330" s="1"/>
      <c r="O330" s="1"/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4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3"/>
      <c r="M331" s="1"/>
      <c r="N331" s="1"/>
      <c r="O331" s="1"/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4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3"/>
      <c r="M332" s="1"/>
      <c r="N332" s="1"/>
      <c r="O332" s="1"/>
      <c r="P332" s="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4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3"/>
      <c r="M333" s="1"/>
      <c r="N333" s="1"/>
      <c r="O333" s="1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4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3"/>
      <c r="M334" s="1"/>
      <c r="N334" s="1"/>
      <c r="O334" s="1"/>
      <c r="P334" s="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4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3"/>
      <c r="M335" s="1"/>
      <c r="N335" s="1"/>
      <c r="O335" s="1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4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3"/>
      <c r="M336" s="1"/>
      <c r="N336" s="1"/>
      <c r="O336" s="1"/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4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3"/>
      <c r="M337" s="1"/>
      <c r="N337" s="1"/>
      <c r="O337" s="1"/>
      <c r="P337" s="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4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3"/>
      <c r="M338" s="1"/>
      <c r="N338" s="1"/>
      <c r="O338" s="1"/>
      <c r="P338" s="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4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3"/>
      <c r="M339" s="1"/>
      <c r="N339" s="1"/>
      <c r="O339" s="1"/>
      <c r="P339" s="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4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3"/>
      <c r="M340" s="1"/>
      <c r="N340" s="1"/>
      <c r="O340" s="1"/>
      <c r="P340" s="2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4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3"/>
      <c r="M341" s="1"/>
      <c r="N341" s="1"/>
      <c r="O341" s="1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4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3"/>
      <c r="M342" s="1"/>
      <c r="N342" s="1"/>
      <c r="O342" s="1"/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4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3"/>
      <c r="M343" s="1"/>
      <c r="N343" s="1"/>
      <c r="O343" s="1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4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3"/>
      <c r="M344" s="1"/>
      <c r="N344" s="1"/>
      <c r="O344" s="1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4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3"/>
      <c r="M345" s="1"/>
      <c r="N345" s="1"/>
      <c r="O345" s="1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4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3"/>
      <c r="M346" s="1"/>
      <c r="N346" s="1"/>
      <c r="O346" s="1"/>
      <c r="P346" s="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4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3"/>
      <c r="M347" s="1"/>
      <c r="N347" s="1"/>
      <c r="O347" s="1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4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3"/>
      <c r="M348" s="1"/>
      <c r="N348" s="1"/>
      <c r="O348" s="1"/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4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3"/>
      <c r="M349" s="1"/>
      <c r="N349" s="1"/>
      <c r="O349" s="1"/>
      <c r="P349" s="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4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3"/>
      <c r="M350" s="1"/>
      <c r="N350" s="1"/>
      <c r="O350" s="1"/>
      <c r="P350" s="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4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3"/>
      <c r="M351" s="1"/>
      <c r="N351" s="1"/>
      <c r="O351" s="1"/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4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3"/>
      <c r="M352" s="1"/>
      <c r="N352" s="1"/>
      <c r="O352" s="1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4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3"/>
      <c r="M353" s="1"/>
      <c r="N353" s="1"/>
      <c r="O353" s="1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4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3"/>
      <c r="M354" s="1"/>
      <c r="N354" s="1"/>
      <c r="O354" s="1"/>
      <c r="P354" s="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4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3"/>
      <c r="M355" s="1"/>
      <c r="N355" s="1"/>
      <c r="O355" s="1"/>
      <c r="P355" s="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4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3"/>
      <c r="M356" s="1"/>
      <c r="N356" s="1"/>
      <c r="O356" s="1"/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4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3"/>
      <c r="M357" s="1"/>
      <c r="N357" s="1"/>
      <c r="O357" s="1"/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4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3"/>
      <c r="M358" s="1"/>
      <c r="N358" s="1"/>
      <c r="O358" s="1"/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4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3"/>
      <c r="M359" s="1"/>
      <c r="N359" s="1"/>
      <c r="O359" s="1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4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3"/>
      <c r="M360" s="1"/>
      <c r="N360" s="1"/>
      <c r="O360" s="1"/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4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3"/>
      <c r="M361" s="1"/>
      <c r="N361" s="1"/>
      <c r="O361" s="1"/>
      <c r="P361" s="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4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3"/>
      <c r="M362" s="1"/>
      <c r="N362" s="1"/>
      <c r="O362" s="1"/>
      <c r="P362" s="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4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3"/>
      <c r="M363" s="1"/>
      <c r="N363" s="1"/>
      <c r="O363" s="1"/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4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3"/>
      <c r="M364" s="1"/>
      <c r="N364" s="1"/>
      <c r="O364" s="1"/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4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3"/>
      <c r="M365" s="1"/>
      <c r="N365" s="1"/>
      <c r="O365" s="1"/>
      <c r="P365" s="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4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3"/>
      <c r="M366" s="1"/>
      <c r="N366" s="1"/>
      <c r="O366" s="1"/>
      <c r="P366" s="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4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3"/>
      <c r="M367" s="1"/>
      <c r="N367" s="1"/>
      <c r="O367" s="1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4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3"/>
      <c r="M368" s="1"/>
      <c r="N368" s="1"/>
      <c r="O368" s="1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4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3"/>
      <c r="M369" s="1"/>
      <c r="N369" s="1"/>
      <c r="O369" s="1"/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4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3"/>
      <c r="M370" s="1"/>
      <c r="N370" s="1"/>
      <c r="O370" s="1"/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4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3"/>
      <c r="M371" s="1"/>
      <c r="N371" s="1"/>
      <c r="O371" s="1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4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3"/>
      <c r="M372" s="1"/>
      <c r="N372" s="1"/>
      <c r="O372" s="1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4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3"/>
      <c r="M373" s="1"/>
      <c r="N373" s="1"/>
      <c r="O373" s="1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4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3"/>
      <c r="M374" s="1"/>
      <c r="N374" s="1"/>
      <c r="O374" s="1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4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3"/>
      <c r="M375" s="1"/>
      <c r="N375" s="1"/>
      <c r="O375" s="1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4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3"/>
      <c r="M376" s="1"/>
      <c r="N376" s="1"/>
      <c r="O376" s="1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4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3"/>
      <c r="M377" s="1"/>
      <c r="N377" s="1"/>
      <c r="O377" s="1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4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3"/>
      <c r="M378" s="1"/>
      <c r="N378" s="1"/>
      <c r="O378" s="1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4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3"/>
      <c r="M379" s="1"/>
      <c r="N379" s="1"/>
      <c r="O379" s="1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4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3"/>
      <c r="M380" s="1"/>
      <c r="N380" s="1"/>
      <c r="O380" s="1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4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3"/>
      <c r="M381" s="1"/>
      <c r="N381" s="1"/>
      <c r="O381" s="1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4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3"/>
      <c r="M382" s="1"/>
      <c r="N382" s="1"/>
      <c r="O382" s="1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4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3"/>
      <c r="M383" s="1"/>
      <c r="N383" s="1"/>
      <c r="O383" s="1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4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3"/>
      <c r="M384" s="1"/>
      <c r="N384" s="1"/>
      <c r="O384" s="1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4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3"/>
      <c r="M385" s="1"/>
      <c r="N385" s="1"/>
      <c r="O385" s="1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4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3"/>
      <c r="M386" s="1"/>
      <c r="N386" s="1"/>
      <c r="O386" s="1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4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3"/>
      <c r="M387" s="1"/>
      <c r="N387" s="1"/>
      <c r="O387" s="1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4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3"/>
      <c r="M388" s="1"/>
      <c r="N388" s="1"/>
      <c r="O388" s="1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4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3"/>
      <c r="M389" s="1"/>
      <c r="N389" s="1"/>
      <c r="O389" s="1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4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3"/>
      <c r="M390" s="1"/>
      <c r="N390" s="1"/>
      <c r="O390" s="1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4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3"/>
      <c r="M391" s="1"/>
      <c r="N391" s="1"/>
      <c r="O391" s="1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4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3"/>
      <c r="M392" s="1"/>
      <c r="N392" s="1"/>
      <c r="O392" s="1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4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3"/>
      <c r="M393" s="1"/>
      <c r="N393" s="1"/>
      <c r="O393" s="1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4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3"/>
      <c r="M394" s="1"/>
      <c r="N394" s="1"/>
      <c r="O394" s="1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4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3"/>
      <c r="M395" s="1"/>
      <c r="N395" s="1"/>
      <c r="O395" s="1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4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3"/>
      <c r="M396" s="1"/>
      <c r="N396" s="1"/>
      <c r="O396" s="1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4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3"/>
      <c r="M397" s="1"/>
      <c r="N397" s="1"/>
      <c r="O397" s="1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4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3"/>
      <c r="M398" s="1"/>
      <c r="N398" s="1"/>
      <c r="O398" s="1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4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3"/>
      <c r="M399" s="1"/>
      <c r="N399" s="1"/>
      <c r="O399" s="1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4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3"/>
      <c r="M400" s="1"/>
      <c r="N400" s="1"/>
      <c r="O400" s="1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4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3"/>
      <c r="M401" s="1"/>
      <c r="N401" s="1"/>
      <c r="O401" s="1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4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3"/>
      <c r="M402" s="1"/>
      <c r="N402" s="1"/>
      <c r="O402" s="1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4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3"/>
      <c r="M403" s="1"/>
      <c r="N403" s="1"/>
      <c r="O403" s="1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4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3"/>
      <c r="M404" s="1"/>
      <c r="N404" s="1"/>
      <c r="O404" s="1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4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3"/>
      <c r="M405" s="1"/>
      <c r="N405" s="1"/>
      <c r="O405" s="1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4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3"/>
      <c r="M406" s="1"/>
      <c r="N406" s="1"/>
      <c r="O406" s="1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4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3"/>
      <c r="M407" s="1"/>
      <c r="N407" s="1"/>
      <c r="O407" s="1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4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3"/>
      <c r="M408" s="1"/>
      <c r="N408" s="1"/>
      <c r="O408" s="1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4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3"/>
      <c r="M409" s="1"/>
      <c r="N409" s="1"/>
      <c r="O409" s="1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4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3"/>
      <c r="M410" s="1"/>
      <c r="N410" s="1"/>
      <c r="O410" s="1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4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3"/>
      <c r="M411" s="1"/>
      <c r="N411" s="1"/>
      <c r="O411" s="1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4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3"/>
      <c r="M412" s="1"/>
      <c r="N412" s="1"/>
      <c r="O412" s="1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4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3"/>
      <c r="M413" s="1"/>
      <c r="N413" s="1"/>
      <c r="O413" s="1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4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3"/>
      <c r="M414" s="1"/>
      <c r="N414" s="1"/>
      <c r="O414" s="1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4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3"/>
      <c r="M415" s="1"/>
      <c r="N415" s="1"/>
      <c r="O415" s="1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4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3"/>
      <c r="M416" s="1"/>
      <c r="N416" s="1"/>
      <c r="O416" s="1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4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3"/>
      <c r="M417" s="1"/>
      <c r="N417" s="1"/>
      <c r="O417" s="1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4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3"/>
      <c r="M418" s="1"/>
      <c r="N418" s="1"/>
      <c r="O418" s="1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4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3"/>
      <c r="M419" s="1"/>
      <c r="N419" s="1"/>
      <c r="O419" s="1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4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3"/>
      <c r="M420" s="1"/>
      <c r="N420" s="1"/>
      <c r="O420" s="1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4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3"/>
      <c r="M421" s="1"/>
      <c r="N421" s="1"/>
      <c r="O421" s="1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4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3"/>
      <c r="M422" s="1"/>
      <c r="N422" s="1"/>
      <c r="O422" s="1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4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3"/>
      <c r="M423" s="1"/>
      <c r="N423" s="1"/>
      <c r="O423" s="1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4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3"/>
      <c r="M424" s="1"/>
      <c r="N424" s="1"/>
      <c r="O424" s="1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4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3"/>
      <c r="M425" s="1"/>
      <c r="N425" s="1"/>
      <c r="O425" s="1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4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3"/>
      <c r="M426" s="1"/>
      <c r="N426" s="1"/>
      <c r="O426" s="1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4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3"/>
      <c r="M427" s="1"/>
      <c r="N427" s="1"/>
      <c r="O427" s="1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4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3"/>
      <c r="M428" s="1"/>
      <c r="N428" s="1"/>
      <c r="O428" s="1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4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3"/>
      <c r="M429" s="1"/>
      <c r="N429" s="1"/>
      <c r="O429" s="1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4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3"/>
      <c r="M430" s="1"/>
      <c r="N430" s="1"/>
      <c r="O430" s="1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4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3"/>
      <c r="M431" s="1"/>
      <c r="N431" s="1"/>
      <c r="O431" s="1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4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3"/>
      <c r="M432" s="1"/>
      <c r="N432" s="1"/>
      <c r="O432" s="1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4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3"/>
      <c r="M433" s="1"/>
      <c r="N433" s="1"/>
      <c r="O433" s="1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4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3"/>
      <c r="M434" s="1"/>
      <c r="N434" s="1"/>
      <c r="O434" s="1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4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3"/>
      <c r="M435" s="1"/>
      <c r="N435" s="1"/>
      <c r="O435" s="1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4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3"/>
      <c r="M436" s="1"/>
      <c r="N436" s="1"/>
      <c r="O436" s="1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4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3"/>
      <c r="M437" s="1"/>
      <c r="N437" s="1"/>
      <c r="O437" s="1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4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3"/>
      <c r="M438" s="1"/>
      <c r="N438" s="1"/>
      <c r="O438" s="1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4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3"/>
      <c r="M439" s="1"/>
      <c r="N439" s="1"/>
      <c r="O439" s="1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4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3"/>
      <c r="M440" s="1"/>
      <c r="N440" s="1"/>
      <c r="O440" s="1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4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3"/>
      <c r="M441" s="1"/>
      <c r="N441" s="1"/>
      <c r="O441" s="1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4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3"/>
      <c r="M442" s="1"/>
      <c r="N442" s="1"/>
      <c r="O442" s="1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4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3"/>
      <c r="M443" s="1"/>
      <c r="N443" s="1"/>
      <c r="O443" s="1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4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3"/>
      <c r="M444" s="1"/>
      <c r="N444" s="1"/>
      <c r="O444" s="1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4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3"/>
      <c r="M445" s="1"/>
      <c r="N445" s="1"/>
      <c r="O445" s="1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4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3"/>
      <c r="M446" s="1"/>
      <c r="N446" s="1"/>
      <c r="O446" s="1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4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3"/>
      <c r="M447" s="1"/>
      <c r="N447" s="1"/>
      <c r="O447" s="1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4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3"/>
      <c r="M448" s="1"/>
      <c r="N448" s="1"/>
      <c r="O448" s="1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4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3"/>
      <c r="M449" s="1"/>
      <c r="N449" s="1"/>
      <c r="O449" s="1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4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3"/>
      <c r="M450" s="1"/>
      <c r="N450" s="1"/>
      <c r="O450" s="1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4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3"/>
      <c r="M451" s="1"/>
      <c r="N451" s="1"/>
      <c r="O451" s="1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4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3"/>
      <c r="M452" s="1"/>
      <c r="N452" s="1"/>
      <c r="O452" s="1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4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3"/>
      <c r="M453" s="1"/>
      <c r="N453" s="1"/>
      <c r="O453" s="1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4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3"/>
      <c r="M454" s="1"/>
      <c r="N454" s="1"/>
      <c r="O454" s="1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4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3"/>
      <c r="M455" s="1"/>
      <c r="N455" s="1"/>
      <c r="O455" s="1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4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3"/>
      <c r="M456" s="1"/>
      <c r="N456" s="1"/>
      <c r="O456" s="1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4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3"/>
      <c r="M457" s="1"/>
      <c r="N457" s="1"/>
      <c r="O457" s="1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4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3"/>
      <c r="M458" s="1"/>
      <c r="N458" s="1"/>
      <c r="O458" s="1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4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3"/>
      <c r="M459" s="1"/>
      <c r="N459" s="1"/>
      <c r="O459" s="1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4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3"/>
      <c r="M460" s="1"/>
      <c r="N460" s="1"/>
      <c r="O460" s="1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4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3"/>
      <c r="M461" s="1"/>
      <c r="N461" s="1"/>
      <c r="O461" s="1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4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3"/>
      <c r="M462" s="1"/>
      <c r="N462" s="1"/>
      <c r="O462" s="1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4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3"/>
      <c r="M463" s="1"/>
      <c r="N463" s="1"/>
      <c r="O463" s="1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4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3"/>
      <c r="M464" s="1"/>
      <c r="N464" s="1"/>
      <c r="O464" s="1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4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3"/>
      <c r="M465" s="1"/>
      <c r="N465" s="1"/>
      <c r="O465" s="1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4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3"/>
      <c r="M466" s="1"/>
      <c r="N466" s="1"/>
      <c r="O466" s="1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4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3"/>
      <c r="M467" s="1"/>
      <c r="N467" s="1"/>
      <c r="O467" s="1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4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3"/>
      <c r="M468" s="1"/>
      <c r="N468" s="1"/>
      <c r="O468" s="1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4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3"/>
      <c r="M469" s="1"/>
      <c r="N469" s="1"/>
      <c r="O469" s="1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4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3"/>
      <c r="M470" s="1"/>
      <c r="N470" s="1"/>
      <c r="O470" s="1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4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3"/>
      <c r="M471" s="1"/>
      <c r="N471" s="1"/>
      <c r="O471" s="1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4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3"/>
      <c r="M472" s="1"/>
      <c r="N472" s="1"/>
      <c r="O472" s="1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4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3"/>
      <c r="M473" s="1"/>
      <c r="N473" s="1"/>
      <c r="O473" s="1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4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3"/>
      <c r="M474" s="1"/>
      <c r="N474" s="1"/>
      <c r="O474" s="1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4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3"/>
      <c r="M475" s="1"/>
      <c r="N475" s="1"/>
      <c r="O475" s="1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4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3"/>
      <c r="M476" s="1"/>
      <c r="N476" s="1"/>
      <c r="O476" s="1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4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3"/>
      <c r="M477" s="1"/>
      <c r="N477" s="1"/>
      <c r="O477" s="1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4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3"/>
      <c r="M478" s="1"/>
      <c r="N478" s="1"/>
      <c r="O478" s="1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4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3"/>
      <c r="M479" s="1"/>
      <c r="N479" s="1"/>
      <c r="O479" s="1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4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3"/>
      <c r="M480" s="1"/>
      <c r="N480" s="1"/>
      <c r="O480" s="1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4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3"/>
      <c r="M481" s="1"/>
      <c r="N481" s="1"/>
      <c r="O481" s="1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4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3"/>
      <c r="M482" s="1"/>
      <c r="N482" s="1"/>
      <c r="O482" s="1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4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3"/>
      <c r="M483" s="1"/>
      <c r="N483" s="1"/>
      <c r="O483" s="1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4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3"/>
      <c r="M484" s="1"/>
      <c r="N484" s="1"/>
      <c r="O484" s="1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4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3"/>
      <c r="M485" s="1"/>
      <c r="N485" s="1"/>
      <c r="O485" s="1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4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3"/>
      <c r="M486" s="1"/>
      <c r="N486" s="1"/>
      <c r="O486" s="1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4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3"/>
      <c r="M487" s="1"/>
      <c r="N487" s="1"/>
      <c r="O487" s="1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4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3"/>
      <c r="M488" s="1"/>
      <c r="N488" s="1"/>
      <c r="O488" s="1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4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3"/>
      <c r="M489" s="1"/>
      <c r="N489" s="1"/>
      <c r="O489" s="1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4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3"/>
      <c r="M490" s="1"/>
      <c r="N490" s="1"/>
      <c r="O490" s="1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4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3"/>
      <c r="M491" s="1"/>
      <c r="N491" s="1"/>
      <c r="O491" s="1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4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3"/>
      <c r="M492" s="1"/>
      <c r="N492" s="1"/>
      <c r="O492" s="1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4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3"/>
      <c r="M493" s="1"/>
      <c r="N493" s="1"/>
      <c r="O493" s="1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4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3"/>
      <c r="M494" s="1"/>
      <c r="N494" s="1"/>
      <c r="O494" s="1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4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3"/>
      <c r="M495" s="1"/>
      <c r="N495" s="1"/>
      <c r="O495" s="1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4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3"/>
      <c r="M496" s="1"/>
      <c r="N496" s="1"/>
      <c r="O496" s="1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4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3"/>
      <c r="M497" s="1"/>
      <c r="N497" s="1"/>
      <c r="O497" s="1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4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3"/>
      <c r="M498" s="1"/>
      <c r="N498" s="1"/>
      <c r="O498" s="1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4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3"/>
      <c r="M499" s="1"/>
      <c r="N499" s="1"/>
      <c r="O499" s="1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4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3"/>
      <c r="M500" s="1"/>
      <c r="N500" s="1"/>
      <c r="O500" s="1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4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3"/>
      <c r="M501" s="1"/>
      <c r="N501" s="1"/>
      <c r="O501" s="1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4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3"/>
      <c r="M502" s="1"/>
      <c r="N502" s="1"/>
      <c r="O502" s="1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4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3"/>
      <c r="M503" s="1"/>
      <c r="N503" s="1"/>
      <c r="O503" s="1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4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3"/>
      <c r="M504" s="1"/>
      <c r="N504" s="1"/>
      <c r="O504" s="1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4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3"/>
      <c r="M505" s="1"/>
      <c r="N505" s="1"/>
      <c r="O505" s="1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4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3"/>
      <c r="M506" s="1"/>
      <c r="N506" s="1"/>
      <c r="O506" s="1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4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3"/>
      <c r="M507" s="1"/>
      <c r="N507" s="1"/>
      <c r="O507" s="1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4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3"/>
      <c r="M508" s="1"/>
      <c r="N508" s="1"/>
      <c r="O508" s="1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4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3"/>
      <c r="M509" s="1"/>
      <c r="N509" s="1"/>
      <c r="O509" s="1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4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3"/>
      <c r="M510" s="1"/>
      <c r="N510" s="1"/>
      <c r="O510" s="1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4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3"/>
      <c r="M511" s="1"/>
      <c r="N511" s="1"/>
      <c r="O511" s="1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4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3"/>
      <c r="M512" s="1"/>
      <c r="N512" s="1"/>
      <c r="O512" s="1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4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3"/>
      <c r="M513" s="1"/>
      <c r="N513" s="1"/>
      <c r="O513" s="1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4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3"/>
      <c r="M514" s="1"/>
      <c r="N514" s="1"/>
      <c r="O514" s="1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4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3"/>
      <c r="M515" s="1"/>
      <c r="N515" s="1"/>
      <c r="O515" s="1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4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3"/>
      <c r="M516" s="1"/>
      <c r="N516" s="1"/>
      <c r="O516" s="1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4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3"/>
      <c r="M517" s="1"/>
      <c r="N517" s="1"/>
      <c r="O517" s="1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4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3"/>
      <c r="M518" s="1"/>
      <c r="N518" s="1"/>
      <c r="O518" s="1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4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3"/>
      <c r="M519" s="1"/>
      <c r="N519" s="1"/>
      <c r="O519" s="1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4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3"/>
      <c r="M520" s="1"/>
      <c r="N520" s="1"/>
      <c r="O520" s="1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4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3"/>
      <c r="M521" s="1"/>
      <c r="N521" s="1"/>
      <c r="O521" s="1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4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3"/>
      <c r="M522" s="1"/>
      <c r="N522" s="1"/>
      <c r="O522" s="1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4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3"/>
      <c r="M523" s="1"/>
      <c r="N523" s="1"/>
      <c r="O523" s="1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4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3"/>
      <c r="M524" s="1"/>
      <c r="N524" s="1"/>
      <c r="O524" s="1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4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3"/>
      <c r="M525" s="1"/>
      <c r="N525" s="1"/>
      <c r="O525" s="1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4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3"/>
      <c r="M526" s="1"/>
      <c r="N526" s="1"/>
      <c r="O526" s="1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4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3"/>
      <c r="M527" s="1"/>
      <c r="N527" s="1"/>
      <c r="O527" s="1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4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3"/>
      <c r="M528" s="1"/>
      <c r="N528" s="1"/>
      <c r="O528" s="1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4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3"/>
      <c r="M529" s="1"/>
      <c r="N529" s="1"/>
      <c r="O529" s="1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4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3"/>
      <c r="M530" s="1"/>
      <c r="N530" s="1"/>
      <c r="O530" s="1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4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3"/>
      <c r="M531" s="1"/>
      <c r="N531" s="1"/>
      <c r="O531" s="1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4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3"/>
      <c r="M532" s="1"/>
      <c r="N532" s="1"/>
      <c r="O532" s="1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4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3"/>
      <c r="M533" s="1"/>
      <c r="N533" s="1"/>
      <c r="O533" s="1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4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3"/>
      <c r="M534" s="1"/>
      <c r="N534" s="1"/>
      <c r="O534" s="1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4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3"/>
      <c r="M535" s="1"/>
      <c r="N535" s="1"/>
      <c r="O535" s="1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4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3"/>
      <c r="M536" s="1"/>
      <c r="N536" s="1"/>
      <c r="O536" s="1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4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3"/>
      <c r="M537" s="1"/>
      <c r="N537" s="1"/>
      <c r="O537" s="1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4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3"/>
      <c r="M538" s="1"/>
      <c r="N538" s="1"/>
      <c r="O538" s="1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4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3"/>
      <c r="M539" s="1"/>
      <c r="N539" s="1"/>
      <c r="O539" s="1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4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3"/>
      <c r="M540" s="1"/>
      <c r="N540" s="1"/>
      <c r="O540" s="1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4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3"/>
      <c r="M541" s="1"/>
      <c r="N541" s="1"/>
      <c r="O541" s="1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4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3"/>
      <c r="M542" s="1"/>
      <c r="N542" s="1"/>
      <c r="O542" s="1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4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3"/>
      <c r="M543" s="1"/>
      <c r="N543" s="1"/>
      <c r="O543" s="1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4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3"/>
      <c r="M544" s="1"/>
      <c r="N544" s="1"/>
      <c r="O544" s="1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4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3"/>
      <c r="M545" s="1"/>
      <c r="N545" s="1"/>
      <c r="O545" s="1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4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3"/>
      <c r="M546" s="1"/>
      <c r="N546" s="1"/>
      <c r="O546" s="1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4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3"/>
      <c r="M547" s="1"/>
      <c r="N547" s="1"/>
      <c r="O547" s="1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4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3"/>
      <c r="M548" s="1"/>
      <c r="N548" s="1"/>
      <c r="O548" s="1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4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3"/>
      <c r="M549" s="1"/>
      <c r="N549" s="1"/>
      <c r="O549" s="1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4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3"/>
      <c r="M550" s="1"/>
      <c r="N550" s="1"/>
      <c r="O550" s="1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4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3"/>
      <c r="M551" s="1"/>
      <c r="N551" s="1"/>
      <c r="O551" s="1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4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3"/>
      <c r="M552" s="1"/>
      <c r="N552" s="1"/>
      <c r="O552" s="1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4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3"/>
      <c r="M553" s="1"/>
      <c r="N553" s="1"/>
      <c r="O553" s="1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4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3"/>
      <c r="M554" s="1"/>
      <c r="N554" s="1"/>
      <c r="O554" s="1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4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3"/>
      <c r="M555" s="1"/>
      <c r="N555" s="1"/>
      <c r="O555" s="1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4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3"/>
      <c r="M556" s="1"/>
      <c r="N556" s="1"/>
      <c r="O556" s="1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4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3"/>
      <c r="M557" s="1"/>
      <c r="N557" s="1"/>
      <c r="O557" s="1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4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3"/>
      <c r="M558" s="1"/>
      <c r="N558" s="1"/>
      <c r="O558" s="1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4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3"/>
      <c r="M559" s="1"/>
      <c r="N559" s="1"/>
      <c r="O559" s="1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4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3"/>
      <c r="M560" s="1"/>
      <c r="N560" s="1"/>
      <c r="O560" s="1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4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3"/>
      <c r="M561" s="1"/>
      <c r="N561" s="1"/>
      <c r="O561" s="1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4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3"/>
      <c r="M562" s="1"/>
      <c r="N562" s="1"/>
      <c r="O562" s="1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4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3"/>
      <c r="M563" s="1"/>
      <c r="N563" s="1"/>
      <c r="O563" s="1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4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3"/>
      <c r="M564" s="1"/>
      <c r="N564" s="1"/>
      <c r="O564" s="1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4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3"/>
      <c r="M565" s="1"/>
      <c r="N565" s="1"/>
      <c r="O565" s="1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4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3"/>
      <c r="M566" s="1"/>
      <c r="N566" s="1"/>
      <c r="O566" s="1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4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3"/>
      <c r="M567" s="1"/>
      <c r="N567" s="1"/>
      <c r="O567" s="1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4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3"/>
      <c r="M568" s="1"/>
      <c r="N568" s="1"/>
      <c r="O568" s="1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4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3"/>
      <c r="M569" s="1"/>
      <c r="N569" s="1"/>
      <c r="O569" s="1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4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3"/>
      <c r="M570" s="1"/>
      <c r="N570" s="1"/>
      <c r="O570" s="1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4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3"/>
      <c r="M571" s="1"/>
      <c r="N571" s="1"/>
      <c r="O571" s="1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4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3"/>
      <c r="M572" s="1"/>
      <c r="N572" s="1"/>
      <c r="O572" s="1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4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3"/>
      <c r="M573" s="1"/>
      <c r="N573" s="1"/>
      <c r="O573" s="1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4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3"/>
      <c r="M574" s="1"/>
      <c r="N574" s="1"/>
      <c r="O574" s="1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4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3"/>
      <c r="M575" s="1"/>
      <c r="N575" s="1"/>
      <c r="O575" s="1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4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3"/>
      <c r="M576" s="1"/>
      <c r="N576" s="1"/>
      <c r="O576" s="1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4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3"/>
      <c r="M577" s="1"/>
      <c r="N577" s="1"/>
      <c r="O577" s="1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4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3"/>
      <c r="M578" s="1"/>
      <c r="N578" s="1"/>
      <c r="O578" s="1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4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3"/>
      <c r="M579" s="1"/>
      <c r="N579" s="1"/>
      <c r="O579" s="1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4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3"/>
      <c r="M580" s="1"/>
      <c r="N580" s="1"/>
      <c r="O580" s="1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4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3"/>
      <c r="M581" s="1"/>
      <c r="N581" s="1"/>
      <c r="O581" s="1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4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3"/>
      <c r="M582" s="1"/>
      <c r="N582" s="1"/>
      <c r="O582" s="1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4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3"/>
      <c r="M583" s="1"/>
      <c r="N583" s="1"/>
      <c r="O583" s="1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4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3"/>
      <c r="M584" s="1"/>
      <c r="N584" s="1"/>
      <c r="O584" s="1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4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3"/>
      <c r="M585" s="1"/>
      <c r="N585" s="1"/>
      <c r="O585" s="1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4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3"/>
      <c r="M586" s="1"/>
      <c r="N586" s="1"/>
      <c r="O586" s="1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4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3"/>
      <c r="M587" s="1"/>
      <c r="N587" s="1"/>
      <c r="O587" s="1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4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3"/>
      <c r="M588" s="1"/>
      <c r="N588" s="1"/>
      <c r="O588" s="1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4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3"/>
      <c r="M589" s="1"/>
      <c r="N589" s="1"/>
      <c r="O589" s="1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4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3"/>
      <c r="M590" s="1"/>
      <c r="N590" s="1"/>
      <c r="O590" s="1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4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3"/>
      <c r="M591" s="1"/>
      <c r="N591" s="1"/>
      <c r="O591" s="1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4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3"/>
      <c r="M592" s="1"/>
      <c r="N592" s="1"/>
      <c r="O592" s="1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4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3"/>
      <c r="M593" s="1"/>
      <c r="N593" s="1"/>
      <c r="O593" s="1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4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3"/>
      <c r="M594" s="1"/>
      <c r="N594" s="1"/>
      <c r="O594" s="1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4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3"/>
      <c r="M595" s="1"/>
      <c r="N595" s="1"/>
      <c r="O595" s="1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4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3"/>
      <c r="M596" s="1"/>
      <c r="N596" s="1"/>
      <c r="O596" s="1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4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3"/>
      <c r="M597" s="1"/>
      <c r="N597" s="1"/>
      <c r="O597" s="1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4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3"/>
      <c r="M598" s="1"/>
      <c r="N598" s="1"/>
      <c r="O598" s="1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4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3"/>
      <c r="M599" s="1"/>
      <c r="N599" s="1"/>
      <c r="O599" s="1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4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3"/>
      <c r="M600" s="1"/>
      <c r="N600" s="1"/>
      <c r="O600" s="1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4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3"/>
      <c r="M601" s="1"/>
      <c r="N601" s="1"/>
      <c r="O601" s="1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4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3"/>
      <c r="M602" s="1"/>
      <c r="N602" s="1"/>
      <c r="O602" s="1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4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3"/>
      <c r="M603" s="1"/>
      <c r="N603" s="1"/>
      <c r="O603" s="1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4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3"/>
      <c r="M604" s="1"/>
      <c r="N604" s="1"/>
      <c r="O604" s="1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4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3"/>
      <c r="M605" s="1"/>
      <c r="N605" s="1"/>
      <c r="O605" s="1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4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3"/>
      <c r="M606" s="1"/>
      <c r="N606" s="1"/>
      <c r="O606" s="1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4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3"/>
      <c r="M607" s="1"/>
      <c r="N607" s="1"/>
      <c r="O607" s="1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4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3"/>
      <c r="M608" s="1"/>
      <c r="N608" s="1"/>
      <c r="O608" s="1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4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3"/>
      <c r="M609" s="1"/>
      <c r="N609" s="1"/>
      <c r="O609" s="1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4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3"/>
      <c r="M610" s="1"/>
      <c r="N610" s="1"/>
      <c r="O610" s="1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4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3"/>
      <c r="M611" s="1"/>
      <c r="N611" s="1"/>
      <c r="O611" s="1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4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3"/>
      <c r="M612" s="1"/>
      <c r="N612" s="1"/>
      <c r="O612" s="1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4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3"/>
      <c r="M613" s="1"/>
      <c r="N613" s="1"/>
      <c r="O613" s="1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4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3"/>
      <c r="M614" s="1"/>
      <c r="N614" s="1"/>
      <c r="O614" s="1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4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3"/>
      <c r="M615" s="1"/>
      <c r="N615" s="1"/>
      <c r="O615" s="1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4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3"/>
      <c r="M616" s="1"/>
      <c r="N616" s="1"/>
      <c r="O616" s="1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4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3"/>
      <c r="M617" s="1"/>
      <c r="N617" s="1"/>
      <c r="O617" s="1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4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3"/>
      <c r="M618" s="1"/>
      <c r="N618" s="1"/>
      <c r="O618" s="1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4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3"/>
      <c r="M619" s="1"/>
      <c r="N619" s="1"/>
      <c r="O619" s="1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4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3"/>
      <c r="M620" s="1"/>
      <c r="N620" s="1"/>
      <c r="O620" s="1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4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3"/>
      <c r="M621" s="1"/>
      <c r="N621" s="1"/>
      <c r="O621" s="1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4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3"/>
      <c r="M622" s="1"/>
      <c r="N622" s="1"/>
      <c r="O622" s="1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4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3"/>
      <c r="M623" s="1"/>
      <c r="N623" s="1"/>
      <c r="O623" s="1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4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3"/>
      <c r="M624" s="1"/>
      <c r="N624" s="1"/>
      <c r="O624" s="1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4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3"/>
      <c r="M625" s="1"/>
      <c r="N625" s="1"/>
      <c r="O625" s="1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4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3"/>
      <c r="M626" s="1"/>
      <c r="N626" s="1"/>
      <c r="O626" s="1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4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3"/>
      <c r="M627" s="1"/>
      <c r="N627" s="1"/>
      <c r="O627" s="1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4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3"/>
      <c r="M628" s="1"/>
      <c r="N628" s="1"/>
      <c r="O628" s="1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4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3"/>
      <c r="M629" s="1"/>
      <c r="N629" s="1"/>
      <c r="O629" s="1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4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3"/>
      <c r="M630" s="1"/>
      <c r="N630" s="1"/>
      <c r="O630" s="1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4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3"/>
      <c r="M631" s="1"/>
      <c r="N631" s="1"/>
      <c r="O631" s="1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4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3"/>
      <c r="M632" s="1"/>
      <c r="N632" s="1"/>
      <c r="O632" s="1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4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3"/>
      <c r="M633" s="1"/>
      <c r="N633" s="1"/>
      <c r="O633" s="1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4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3"/>
      <c r="M634" s="1"/>
      <c r="N634" s="1"/>
      <c r="O634" s="1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4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3"/>
      <c r="M635" s="1"/>
      <c r="N635" s="1"/>
      <c r="O635" s="1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4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3"/>
      <c r="M636" s="1"/>
      <c r="N636" s="1"/>
      <c r="O636" s="1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4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3"/>
      <c r="M637" s="1"/>
      <c r="N637" s="1"/>
      <c r="O637" s="1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4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3"/>
      <c r="M638" s="1"/>
      <c r="N638" s="1"/>
      <c r="O638" s="1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4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3"/>
      <c r="M639" s="1"/>
      <c r="N639" s="1"/>
      <c r="O639" s="1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4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3"/>
      <c r="M640" s="1"/>
      <c r="N640" s="1"/>
      <c r="O640" s="1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4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3"/>
      <c r="M641" s="1"/>
      <c r="N641" s="1"/>
      <c r="O641" s="1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4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3"/>
      <c r="M642" s="1"/>
      <c r="N642" s="1"/>
      <c r="O642" s="1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4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3"/>
      <c r="M643" s="1"/>
      <c r="N643" s="1"/>
      <c r="O643" s="1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4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3"/>
      <c r="M644" s="1"/>
      <c r="N644" s="1"/>
      <c r="O644" s="1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4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3"/>
      <c r="M645" s="1"/>
      <c r="N645" s="1"/>
      <c r="O645" s="1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4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3"/>
      <c r="M646" s="1"/>
      <c r="N646" s="1"/>
      <c r="O646" s="1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4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3"/>
      <c r="M647" s="1"/>
      <c r="N647" s="1"/>
      <c r="O647" s="1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4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3"/>
      <c r="M648" s="1"/>
      <c r="N648" s="1"/>
      <c r="O648" s="1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4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3"/>
      <c r="M649" s="1"/>
      <c r="N649" s="1"/>
      <c r="O649" s="1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4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3"/>
      <c r="M650" s="1"/>
      <c r="N650" s="1"/>
      <c r="O650" s="1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4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3"/>
      <c r="M651" s="1"/>
      <c r="N651" s="1"/>
      <c r="O651" s="1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4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3"/>
      <c r="M652" s="1"/>
      <c r="N652" s="1"/>
      <c r="O652" s="1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4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3"/>
      <c r="M653" s="1"/>
      <c r="N653" s="1"/>
      <c r="O653" s="1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4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3"/>
      <c r="M654" s="1"/>
      <c r="N654" s="1"/>
      <c r="O654" s="1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4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3"/>
      <c r="M655" s="1"/>
      <c r="N655" s="1"/>
      <c r="O655" s="1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4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3"/>
      <c r="M656" s="1"/>
      <c r="N656" s="1"/>
      <c r="O656" s="1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4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3"/>
      <c r="M657" s="1"/>
      <c r="N657" s="1"/>
      <c r="O657" s="1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4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3"/>
      <c r="M658" s="1"/>
      <c r="N658" s="1"/>
      <c r="O658" s="1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4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3"/>
      <c r="M659" s="1"/>
      <c r="N659" s="1"/>
      <c r="O659" s="1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4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3"/>
      <c r="M660" s="1"/>
      <c r="N660" s="1"/>
      <c r="O660" s="1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4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3"/>
      <c r="M661" s="1"/>
      <c r="N661" s="1"/>
      <c r="O661" s="1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4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3"/>
      <c r="M662" s="1"/>
      <c r="N662" s="1"/>
      <c r="O662" s="1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4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3"/>
      <c r="M663" s="1"/>
      <c r="N663" s="1"/>
      <c r="O663" s="1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4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3"/>
      <c r="M664" s="1"/>
      <c r="N664" s="1"/>
      <c r="O664" s="1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4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3"/>
      <c r="M665" s="1"/>
      <c r="N665" s="1"/>
      <c r="O665" s="1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4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3"/>
      <c r="M666" s="1"/>
      <c r="N666" s="1"/>
      <c r="O666" s="1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4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3"/>
      <c r="M667" s="1"/>
      <c r="N667" s="1"/>
      <c r="O667" s="1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4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3"/>
      <c r="M668" s="1"/>
      <c r="N668" s="1"/>
      <c r="O668" s="1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4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3"/>
      <c r="M669" s="1"/>
      <c r="N669" s="1"/>
      <c r="O669" s="1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4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3"/>
      <c r="M670" s="1"/>
      <c r="N670" s="1"/>
      <c r="O670" s="1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4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3"/>
      <c r="M671" s="1"/>
      <c r="N671" s="1"/>
      <c r="O671" s="1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4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3"/>
      <c r="M672" s="1"/>
      <c r="N672" s="1"/>
      <c r="O672" s="1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4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3"/>
      <c r="M673" s="1"/>
      <c r="N673" s="1"/>
      <c r="O673" s="1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4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3"/>
      <c r="M674" s="1"/>
      <c r="N674" s="1"/>
      <c r="O674" s="1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4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3"/>
      <c r="M675" s="1"/>
      <c r="N675" s="1"/>
      <c r="O675" s="1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4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3"/>
      <c r="M676" s="1"/>
      <c r="N676" s="1"/>
      <c r="O676" s="1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4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3"/>
      <c r="M677" s="1"/>
      <c r="N677" s="1"/>
      <c r="O677" s="1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4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3"/>
      <c r="M678" s="1"/>
      <c r="N678" s="1"/>
      <c r="O678" s="1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4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3"/>
      <c r="M679" s="1"/>
      <c r="N679" s="1"/>
      <c r="O679" s="1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4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3"/>
      <c r="M680" s="1"/>
      <c r="N680" s="1"/>
      <c r="O680" s="1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4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3"/>
      <c r="M681" s="1"/>
      <c r="N681" s="1"/>
      <c r="O681" s="1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4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3"/>
      <c r="M682" s="1"/>
      <c r="N682" s="1"/>
      <c r="O682" s="1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4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3"/>
      <c r="M683" s="1"/>
      <c r="N683" s="1"/>
      <c r="O683" s="1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4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3"/>
      <c r="M684" s="1"/>
      <c r="N684" s="1"/>
      <c r="O684" s="1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4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3"/>
      <c r="M685" s="1"/>
      <c r="N685" s="1"/>
      <c r="O685" s="1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4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3"/>
      <c r="M686" s="1"/>
      <c r="N686" s="1"/>
      <c r="O686" s="1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4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3"/>
      <c r="M687" s="1"/>
      <c r="N687" s="1"/>
      <c r="O687" s="1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4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3"/>
      <c r="M688" s="1"/>
      <c r="N688" s="1"/>
      <c r="O688" s="1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4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3"/>
      <c r="M689" s="1"/>
      <c r="N689" s="1"/>
      <c r="O689" s="1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4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3"/>
      <c r="M690" s="1"/>
      <c r="N690" s="1"/>
      <c r="O690" s="1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4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3"/>
      <c r="M691" s="1"/>
      <c r="N691" s="1"/>
      <c r="O691" s="1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4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3"/>
      <c r="M692" s="1"/>
      <c r="N692" s="1"/>
      <c r="O692" s="1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4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3"/>
      <c r="M693" s="1"/>
      <c r="N693" s="1"/>
      <c r="O693" s="1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4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3"/>
      <c r="M694" s="1"/>
      <c r="N694" s="1"/>
      <c r="O694" s="1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4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3"/>
      <c r="M695" s="1"/>
      <c r="N695" s="1"/>
      <c r="O695" s="1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4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3"/>
      <c r="M696" s="1"/>
      <c r="N696" s="1"/>
      <c r="O696" s="1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4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3"/>
      <c r="M697" s="1"/>
      <c r="N697" s="1"/>
      <c r="O697" s="1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4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3"/>
      <c r="M698" s="1"/>
      <c r="N698" s="1"/>
      <c r="O698" s="1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4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3"/>
      <c r="M699" s="1"/>
      <c r="N699" s="1"/>
      <c r="O699" s="1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4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3"/>
      <c r="M700" s="1"/>
      <c r="N700" s="1"/>
      <c r="O700" s="1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4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3"/>
      <c r="M701" s="1"/>
      <c r="N701" s="1"/>
      <c r="O701" s="1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4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3"/>
      <c r="M702" s="1"/>
      <c r="N702" s="1"/>
      <c r="O702" s="1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4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3"/>
      <c r="M703" s="1"/>
      <c r="N703" s="1"/>
      <c r="O703" s="1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4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3"/>
      <c r="M704" s="1"/>
      <c r="N704" s="1"/>
      <c r="O704" s="1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4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3"/>
      <c r="M705" s="1"/>
      <c r="N705" s="1"/>
      <c r="O705" s="1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4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3"/>
      <c r="M706" s="1"/>
      <c r="N706" s="1"/>
      <c r="O706" s="1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4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3"/>
      <c r="M707" s="1"/>
      <c r="N707" s="1"/>
      <c r="O707" s="1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4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3"/>
      <c r="M708" s="1"/>
      <c r="N708" s="1"/>
      <c r="O708" s="1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4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3"/>
      <c r="M709" s="1"/>
      <c r="N709" s="1"/>
      <c r="O709" s="1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4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3"/>
      <c r="M710" s="1"/>
      <c r="N710" s="1"/>
      <c r="O710" s="1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4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3"/>
      <c r="M711" s="1"/>
      <c r="N711" s="1"/>
      <c r="O711" s="1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4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3"/>
      <c r="M712" s="1"/>
      <c r="N712" s="1"/>
      <c r="O712" s="1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4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3"/>
      <c r="M713" s="1"/>
      <c r="N713" s="1"/>
      <c r="O713" s="1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4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3"/>
      <c r="M714" s="1"/>
      <c r="N714" s="1"/>
      <c r="O714" s="1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4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3"/>
      <c r="M715" s="1"/>
      <c r="N715" s="1"/>
      <c r="O715" s="1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4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3"/>
      <c r="M716" s="1"/>
      <c r="N716" s="1"/>
      <c r="O716" s="1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4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3"/>
      <c r="M717" s="1"/>
      <c r="N717" s="1"/>
      <c r="O717" s="1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4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3"/>
      <c r="M718" s="1"/>
      <c r="N718" s="1"/>
      <c r="O718" s="1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4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3"/>
      <c r="M719" s="1"/>
      <c r="N719" s="1"/>
      <c r="O719" s="1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4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3"/>
      <c r="M720" s="1"/>
      <c r="N720" s="1"/>
      <c r="O720" s="1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4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3"/>
      <c r="M721" s="1"/>
      <c r="N721" s="1"/>
      <c r="O721" s="1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4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3"/>
      <c r="M722" s="1"/>
      <c r="N722" s="1"/>
      <c r="O722" s="1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4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3"/>
      <c r="M723" s="1"/>
      <c r="N723" s="1"/>
      <c r="O723" s="1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4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3"/>
      <c r="M724" s="1"/>
      <c r="N724" s="1"/>
      <c r="O724" s="1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4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3"/>
      <c r="M725" s="1"/>
      <c r="N725" s="1"/>
      <c r="O725" s="1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4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3"/>
      <c r="M726" s="1"/>
      <c r="N726" s="1"/>
      <c r="O726" s="1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4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3"/>
      <c r="M727" s="1"/>
      <c r="N727" s="1"/>
      <c r="O727" s="1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4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3"/>
      <c r="M728" s="1"/>
      <c r="N728" s="1"/>
      <c r="O728" s="1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4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3"/>
      <c r="M729" s="1"/>
      <c r="N729" s="1"/>
      <c r="O729" s="1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4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3"/>
      <c r="M730" s="1"/>
      <c r="N730" s="1"/>
      <c r="O730" s="1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4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3"/>
      <c r="M731" s="1"/>
      <c r="N731" s="1"/>
      <c r="O731" s="1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4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3"/>
      <c r="M732" s="1"/>
      <c r="N732" s="1"/>
      <c r="O732" s="1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4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3"/>
      <c r="M733" s="1"/>
      <c r="N733" s="1"/>
      <c r="O733" s="1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4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3"/>
      <c r="M734" s="1"/>
      <c r="N734" s="1"/>
      <c r="O734" s="1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4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3"/>
      <c r="M735" s="1"/>
      <c r="N735" s="1"/>
      <c r="O735" s="1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4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3"/>
      <c r="M736" s="1"/>
      <c r="N736" s="1"/>
      <c r="O736" s="1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4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3"/>
      <c r="M737" s="1"/>
      <c r="N737" s="1"/>
      <c r="O737" s="1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4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3"/>
      <c r="M738" s="1"/>
      <c r="N738" s="1"/>
      <c r="O738" s="1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4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3"/>
      <c r="M739" s="1"/>
      <c r="N739" s="1"/>
      <c r="O739" s="1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4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3"/>
      <c r="M740" s="1"/>
      <c r="N740" s="1"/>
      <c r="O740" s="1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4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3"/>
      <c r="M741" s="1"/>
      <c r="N741" s="1"/>
      <c r="O741" s="1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4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3"/>
      <c r="M742" s="1"/>
      <c r="N742" s="1"/>
      <c r="O742" s="1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4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3"/>
      <c r="M743" s="1"/>
      <c r="N743" s="1"/>
      <c r="O743" s="1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4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3"/>
      <c r="M744" s="1"/>
      <c r="N744" s="1"/>
      <c r="O744" s="1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4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3"/>
      <c r="M745" s="1"/>
      <c r="N745" s="1"/>
      <c r="O745" s="1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4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3"/>
      <c r="M746" s="1"/>
      <c r="N746" s="1"/>
      <c r="O746" s="1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4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3"/>
      <c r="M747" s="1"/>
      <c r="N747" s="1"/>
      <c r="O747" s="1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4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3"/>
      <c r="M748" s="1"/>
      <c r="N748" s="1"/>
      <c r="O748" s="1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4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3"/>
      <c r="M749" s="1"/>
      <c r="N749" s="1"/>
      <c r="O749" s="1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4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3"/>
      <c r="M750" s="1"/>
      <c r="N750" s="1"/>
      <c r="O750" s="1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4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3"/>
      <c r="M751" s="1"/>
      <c r="N751" s="1"/>
      <c r="O751" s="1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4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3"/>
      <c r="M752" s="1"/>
      <c r="N752" s="1"/>
      <c r="O752" s="1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4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3"/>
      <c r="M753" s="1"/>
      <c r="N753" s="1"/>
      <c r="O753" s="1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4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3"/>
      <c r="M754" s="1"/>
      <c r="N754" s="1"/>
      <c r="O754" s="1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4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3"/>
      <c r="M755" s="1"/>
      <c r="N755" s="1"/>
      <c r="O755" s="1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4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3"/>
      <c r="M756" s="1"/>
      <c r="N756" s="1"/>
      <c r="O756" s="1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4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3"/>
      <c r="M757" s="1"/>
      <c r="N757" s="1"/>
      <c r="O757" s="1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4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3"/>
      <c r="M758" s="1"/>
      <c r="N758" s="1"/>
      <c r="O758" s="1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4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3"/>
      <c r="M759" s="1"/>
      <c r="N759" s="1"/>
      <c r="O759" s="1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4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3"/>
      <c r="M760" s="1"/>
      <c r="N760" s="1"/>
      <c r="O760" s="1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4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3"/>
      <c r="M761" s="1"/>
      <c r="N761" s="1"/>
      <c r="O761" s="1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4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3"/>
      <c r="M762" s="1"/>
      <c r="N762" s="1"/>
      <c r="O762" s="1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4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3"/>
      <c r="M763" s="1"/>
      <c r="N763" s="1"/>
      <c r="O763" s="1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4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3"/>
      <c r="M764" s="1"/>
      <c r="N764" s="1"/>
      <c r="O764" s="1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4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3"/>
      <c r="M765" s="1"/>
      <c r="N765" s="1"/>
      <c r="O765" s="1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4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3"/>
      <c r="M766" s="1"/>
      <c r="N766" s="1"/>
      <c r="O766" s="1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4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3"/>
      <c r="M767" s="1"/>
      <c r="N767" s="1"/>
      <c r="O767" s="1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4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3"/>
      <c r="M768" s="1"/>
      <c r="N768" s="1"/>
      <c r="O768" s="1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4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3"/>
      <c r="M769" s="1"/>
      <c r="N769" s="1"/>
      <c r="O769" s="1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4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3"/>
      <c r="M770" s="1"/>
      <c r="N770" s="1"/>
      <c r="O770" s="1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4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3"/>
      <c r="M771" s="1"/>
      <c r="N771" s="1"/>
      <c r="O771" s="1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4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3"/>
      <c r="M772" s="1"/>
      <c r="N772" s="1"/>
      <c r="O772" s="1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4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3"/>
      <c r="M773" s="1"/>
      <c r="N773" s="1"/>
      <c r="O773" s="1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4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3"/>
      <c r="M774" s="1"/>
      <c r="N774" s="1"/>
      <c r="O774" s="1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4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3"/>
      <c r="M775" s="1"/>
      <c r="N775" s="1"/>
      <c r="O775" s="1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4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3"/>
      <c r="M776" s="1"/>
      <c r="N776" s="1"/>
      <c r="O776" s="1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4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3"/>
      <c r="M777" s="1"/>
      <c r="N777" s="1"/>
      <c r="O777" s="1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4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3"/>
      <c r="M778" s="1"/>
      <c r="N778" s="1"/>
      <c r="O778" s="1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4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3"/>
      <c r="M779" s="1"/>
      <c r="N779" s="1"/>
      <c r="O779" s="1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4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3"/>
      <c r="M780" s="1"/>
      <c r="N780" s="1"/>
      <c r="O780" s="1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4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3"/>
      <c r="M781" s="1"/>
      <c r="N781" s="1"/>
      <c r="O781" s="1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4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3"/>
      <c r="M782" s="1"/>
      <c r="N782" s="1"/>
      <c r="O782" s="1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4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3"/>
      <c r="M783" s="1"/>
      <c r="N783" s="1"/>
      <c r="O783" s="1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4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3"/>
      <c r="M784" s="1"/>
      <c r="N784" s="1"/>
      <c r="O784" s="1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4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3"/>
      <c r="M785" s="1"/>
      <c r="N785" s="1"/>
      <c r="O785" s="1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4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3"/>
      <c r="M786" s="1"/>
      <c r="N786" s="1"/>
      <c r="O786" s="1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4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3"/>
      <c r="M787" s="1"/>
      <c r="N787" s="1"/>
      <c r="O787" s="1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4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3"/>
      <c r="M788" s="1"/>
      <c r="N788" s="1"/>
      <c r="O788" s="1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4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3"/>
      <c r="M789" s="1"/>
      <c r="N789" s="1"/>
      <c r="O789" s="1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4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3"/>
      <c r="M790" s="1"/>
      <c r="N790" s="1"/>
      <c r="O790" s="1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4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3"/>
      <c r="M791" s="1"/>
      <c r="N791" s="1"/>
      <c r="O791" s="1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4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3"/>
      <c r="M792" s="1"/>
      <c r="N792" s="1"/>
      <c r="O792" s="1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4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3"/>
      <c r="M793" s="1"/>
      <c r="N793" s="1"/>
      <c r="O793" s="1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4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3"/>
      <c r="M794" s="1"/>
      <c r="N794" s="1"/>
      <c r="O794" s="1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4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3"/>
      <c r="M795" s="1"/>
      <c r="N795" s="1"/>
      <c r="O795" s="1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4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3"/>
      <c r="M796" s="1"/>
      <c r="N796" s="1"/>
      <c r="O796" s="1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4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3"/>
      <c r="M797" s="1"/>
      <c r="N797" s="1"/>
      <c r="O797" s="1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4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3"/>
      <c r="M798" s="1"/>
      <c r="N798" s="1"/>
      <c r="O798" s="1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4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3"/>
      <c r="M799" s="1"/>
      <c r="N799" s="1"/>
      <c r="O799" s="1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4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3"/>
      <c r="M800" s="1"/>
      <c r="N800" s="1"/>
      <c r="O800" s="1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4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3"/>
      <c r="M801" s="1"/>
      <c r="N801" s="1"/>
      <c r="O801" s="1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4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3"/>
      <c r="M802" s="1"/>
      <c r="N802" s="1"/>
      <c r="O802" s="1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4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3"/>
      <c r="M803" s="1"/>
      <c r="N803" s="1"/>
      <c r="O803" s="1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4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3"/>
      <c r="M804" s="1"/>
      <c r="N804" s="1"/>
      <c r="O804" s="1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4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3"/>
      <c r="M805" s="1"/>
      <c r="N805" s="1"/>
      <c r="O805" s="1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4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3"/>
      <c r="M806" s="1"/>
      <c r="N806" s="1"/>
      <c r="O806" s="1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4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3"/>
      <c r="M807" s="1"/>
      <c r="N807" s="1"/>
      <c r="O807" s="1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4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3"/>
      <c r="M808" s="1"/>
      <c r="N808" s="1"/>
      <c r="O808" s="1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4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3"/>
      <c r="M809" s="1"/>
      <c r="N809" s="1"/>
      <c r="O809" s="1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4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3"/>
      <c r="M810" s="1"/>
      <c r="N810" s="1"/>
      <c r="O810" s="1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4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3"/>
      <c r="M811" s="1"/>
      <c r="N811" s="1"/>
      <c r="O811" s="1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4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3"/>
      <c r="M812" s="1"/>
      <c r="N812" s="1"/>
      <c r="O812" s="1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4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3"/>
      <c r="M813" s="1"/>
      <c r="N813" s="1"/>
      <c r="O813" s="1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4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3"/>
      <c r="M814" s="1"/>
      <c r="N814" s="1"/>
      <c r="O814" s="1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4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3"/>
      <c r="M815" s="1"/>
      <c r="N815" s="1"/>
      <c r="O815" s="1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4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3"/>
      <c r="M816" s="1"/>
      <c r="N816" s="1"/>
      <c r="O816" s="1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4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3"/>
      <c r="M817" s="1"/>
      <c r="N817" s="1"/>
      <c r="O817" s="1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4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3"/>
      <c r="M818" s="1"/>
      <c r="N818" s="1"/>
      <c r="O818" s="1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4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3"/>
      <c r="M819" s="1"/>
      <c r="N819" s="1"/>
      <c r="O819" s="1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4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3"/>
      <c r="M820" s="1"/>
      <c r="N820" s="1"/>
      <c r="O820" s="1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4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3"/>
      <c r="M821" s="1"/>
      <c r="N821" s="1"/>
      <c r="O821" s="1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4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3"/>
      <c r="M822" s="1"/>
      <c r="N822" s="1"/>
      <c r="O822" s="1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4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3"/>
      <c r="M823" s="1"/>
      <c r="N823" s="1"/>
      <c r="O823" s="1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4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3"/>
      <c r="M824" s="1"/>
      <c r="N824" s="1"/>
      <c r="O824" s="1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4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3"/>
      <c r="M825" s="1"/>
      <c r="N825" s="1"/>
      <c r="O825" s="1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4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3"/>
      <c r="M826" s="1"/>
      <c r="N826" s="1"/>
      <c r="O826" s="1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4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3"/>
      <c r="M827" s="1"/>
      <c r="N827" s="1"/>
      <c r="O827" s="1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4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3"/>
      <c r="M828" s="1"/>
      <c r="N828" s="1"/>
      <c r="O828" s="1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4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3"/>
      <c r="M829" s="1"/>
      <c r="N829" s="1"/>
      <c r="O829" s="1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4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3"/>
      <c r="M830" s="1"/>
      <c r="N830" s="1"/>
      <c r="O830" s="1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4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3"/>
      <c r="M831" s="1"/>
      <c r="N831" s="1"/>
      <c r="O831" s="1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4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3"/>
      <c r="M832" s="1"/>
      <c r="N832" s="1"/>
      <c r="O832" s="1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4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3"/>
      <c r="M833" s="1"/>
      <c r="N833" s="1"/>
      <c r="O833" s="1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4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3"/>
      <c r="M834" s="1"/>
      <c r="N834" s="1"/>
      <c r="O834" s="1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4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3"/>
      <c r="M835" s="1"/>
      <c r="N835" s="1"/>
      <c r="O835" s="1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4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3"/>
      <c r="M836" s="1"/>
      <c r="N836" s="1"/>
      <c r="O836" s="1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4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3"/>
      <c r="M837" s="1"/>
      <c r="N837" s="1"/>
      <c r="O837" s="1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4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3"/>
      <c r="M838" s="1"/>
      <c r="N838" s="1"/>
      <c r="O838" s="1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4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3"/>
      <c r="M839" s="1"/>
      <c r="N839" s="1"/>
      <c r="O839" s="1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4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3"/>
      <c r="M840" s="1"/>
      <c r="N840" s="1"/>
      <c r="O840" s="1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4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3"/>
      <c r="M841" s="1"/>
      <c r="N841" s="1"/>
      <c r="O841" s="1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4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3"/>
      <c r="M842" s="1"/>
      <c r="N842" s="1"/>
      <c r="O842" s="1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4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3"/>
      <c r="M843" s="1"/>
      <c r="N843" s="1"/>
      <c r="O843" s="1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4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3"/>
      <c r="M844" s="1"/>
      <c r="N844" s="1"/>
      <c r="O844" s="1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4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3"/>
      <c r="M845" s="1"/>
      <c r="N845" s="1"/>
      <c r="O845" s="1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4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3"/>
      <c r="M846" s="1"/>
      <c r="N846" s="1"/>
      <c r="O846" s="1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4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3"/>
      <c r="M847" s="1"/>
      <c r="N847" s="1"/>
      <c r="O847" s="1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4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3"/>
      <c r="M848" s="1"/>
      <c r="N848" s="1"/>
      <c r="O848" s="1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4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3"/>
      <c r="M849" s="1"/>
      <c r="N849" s="1"/>
      <c r="O849" s="1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4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3"/>
      <c r="M850" s="1"/>
      <c r="N850" s="1"/>
      <c r="O850" s="1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4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3"/>
      <c r="M851" s="1"/>
      <c r="N851" s="1"/>
      <c r="O851" s="1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4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3"/>
      <c r="M852" s="1"/>
      <c r="N852" s="1"/>
      <c r="O852" s="1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4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3"/>
      <c r="M853" s="1"/>
      <c r="N853" s="1"/>
      <c r="O853" s="1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4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3"/>
      <c r="M854" s="1"/>
      <c r="N854" s="1"/>
      <c r="O854" s="1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4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3"/>
      <c r="M855" s="1"/>
      <c r="N855" s="1"/>
      <c r="O855" s="1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4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3"/>
      <c r="M856" s="1"/>
      <c r="N856" s="1"/>
      <c r="O856" s="1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4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3"/>
      <c r="M857" s="1"/>
      <c r="N857" s="1"/>
      <c r="O857" s="1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4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3"/>
      <c r="M858" s="1"/>
      <c r="N858" s="1"/>
      <c r="O858" s="1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4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3"/>
      <c r="M859" s="1"/>
      <c r="N859" s="1"/>
      <c r="O859" s="1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4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3"/>
      <c r="M860" s="1"/>
      <c r="N860" s="1"/>
      <c r="O860" s="1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4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3"/>
      <c r="M861" s="1"/>
      <c r="N861" s="1"/>
      <c r="O861" s="1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4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3"/>
      <c r="M862" s="1"/>
      <c r="N862" s="1"/>
      <c r="O862" s="1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4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3"/>
      <c r="M863" s="1"/>
      <c r="N863" s="1"/>
      <c r="O863" s="1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4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3"/>
      <c r="M864" s="1"/>
      <c r="N864" s="1"/>
      <c r="O864" s="1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4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3"/>
      <c r="M865" s="1"/>
      <c r="N865" s="1"/>
      <c r="O865" s="1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4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3"/>
      <c r="M866" s="1"/>
      <c r="N866" s="1"/>
      <c r="O866" s="1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4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3"/>
      <c r="M867" s="1"/>
      <c r="N867" s="1"/>
      <c r="O867" s="1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4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3"/>
      <c r="M868" s="1"/>
      <c r="N868" s="1"/>
      <c r="O868" s="1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4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3"/>
      <c r="M869" s="1"/>
      <c r="N869" s="1"/>
      <c r="O869" s="1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4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3"/>
      <c r="M870" s="1"/>
      <c r="N870" s="1"/>
      <c r="O870" s="1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4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3"/>
      <c r="M871" s="1"/>
      <c r="N871" s="1"/>
      <c r="O871" s="1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4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3"/>
      <c r="M872" s="1"/>
      <c r="N872" s="1"/>
      <c r="O872" s="1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4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3"/>
      <c r="M873" s="1"/>
      <c r="N873" s="1"/>
      <c r="O873" s="1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4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3"/>
      <c r="M874" s="1"/>
      <c r="N874" s="1"/>
      <c r="O874" s="1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4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3"/>
      <c r="M875" s="1"/>
      <c r="N875" s="1"/>
      <c r="O875" s="1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4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3"/>
      <c r="M876" s="1"/>
      <c r="N876" s="1"/>
      <c r="O876" s="1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4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3"/>
      <c r="M877" s="1"/>
      <c r="N877" s="1"/>
      <c r="O877" s="1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4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3"/>
      <c r="M878" s="1"/>
      <c r="N878" s="1"/>
      <c r="O878" s="1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4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3"/>
      <c r="M879" s="1"/>
      <c r="N879" s="1"/>
      <c r="O879" s="1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4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3"/>
      <c r="M880" s="1"/>
      <c r="N880" s="1"/>
      <c r="O880" s="1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4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3"/>
      <c r="M881" s="1"/>
      <c r="N881" s="1"/>
      <c r="O881" s="1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4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3"/>
      <c r="M882" s="1"/>
      <c r="N882" s="1"/>
      <c r="O882" s="1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4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3"/>
      <c r="M883" s="1"/>
      <c r="N883" s="1"/>
      <c r="O883" s="1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4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3"/>
      <c r="M884" s="1"/>
      <c r="N884" s="1"/>
      <c r="O884" s="1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4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3"/>
      <c r="M885" s="1"/>
      <c r="N885" s="1"/>
      <c r="O885" s="1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4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3"/>
      <c r="M886" s="1"/>
      <c r="N886" s="1"/>
      <c r="O886" s="1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4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3"/>
      <c r="M887" s="1"/>
      <c r="N887" s="1"/>
      <c r="O887" s="1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4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3"/>
      <c r="M888" s="1"/>
      <c r="N888" s="1"/>
      <c r="O888" s="1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4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3"/>
      <c r="M889" s="1"/>
      <c r="N889" s="1"/>
      <c r="O889" s="1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4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3"/>
      <c r="M890" s="1"/>
      <c r="N890" s="1"/>
      <c r="O890" s="1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4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3"/>
      <c r="M891" s="1"/>
      <c r="N891" s="1"/>
      <c r="O891" s="1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4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3"/>
      <c r="M892" s="1"/>
      <c r="N892" s="1"/>
      <c r="O892" s="1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4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3"/>
      <c r="M893" s="1"/>
      <c r="N893" s="1"/>
      <c r="O893" s="1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4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3"/>
      <c r="M894" s="1"/>
      <c r="N894" s="1"/>
      <c r="O894" s="1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4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3"/>
      <c r="M895" s="1"/>
      <c r="N895" s="1"/>
      <c r="O895" s="1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4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3"/>
      <c r="M896" s="1"/>
      <c r="N896" s="1"/>
      <c r="O896" s="1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4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3"/>
      <c r="M897" s="1"/>
      <c r="N897" s="1"/>
      <c r="O897" s="1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4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3"/>
      <c r="M898" s="1"/>
      <c r="N898" s="1"/>
      <c r="O898" s="1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4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3"/>
      <c r="M899" s="1"/>
      <c r="N899" s="1"/>
      <c r="O899" s="1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4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3"/>
      <c r="M900" s="1"/>
      <c r="N900" s="1"/>
      <c r="O900" s="1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4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3"/>
      <c r="M901" s="1"/>
      <c r="N901" s="1"/>
      <c r="O901" s="1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4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3"/>
      <c r="M902" s="1"/>
      <c r="N902" s="1"/>
      <c r="O902" s="1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4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3"/>
      <c r="M903" s="1"/>
      <c r="N903" s="1"/>
      <c r="O903" s="1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4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3"/>
      <c r="M904" s="1"/>
      <c r="N904" s="1"/>
      <c r="O904" s="1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4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3"/>
      <c r="M905" s="1"/>
      <c r="N905" s="1"/>
      <c r="O905" s="1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4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3"/>
      <c r="M906" s="1"/>
      <c r="N906" s="1"/>
      <c r="O906" s="1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4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3"/>
      <c r="M907" s="1"/>
      <c r="N907" s="1"/>
      <c r="O907" s="1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4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3"/>
      <c r="M908" s="1"/>
      <c r="N908" s="1"/>
      <c r="O908" s="1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4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3"/>
      <c r="M909" s="1"/>
      <c r="N909" s="1"/>
      <c r="O909" s="1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4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3"/>
      <c r="M910" s="1"/>
      <c r="N910" s="1"/>
      <c r="O910" s="1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4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3"/>
      <c r="M911" s="1"/>
      <c r="N911" s="1"/>
      <c r="O911" s="1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4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3"/>
      <c r="M912" s="1"/>
      <c r="N912" s="1"/>
      <c r="O912" s="1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4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3"/>
      <c r="M913" s="1"/>
      <c r="N913" s="1"/>
      <c r="O913" s="1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4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3"/>
      <c r="M914" s="1"/>
      <c r="N914" s="1"/>
      <c r="O914" s="1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4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3"/>
      <c r="M915" s="1"/>
      <c r="N915" s="1"/>
      <c r="O915" s="1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4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3"/>
      <c r="M916" s="1"/>
      <c r="N916" s="1"/>
      <c r="O916" s="1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4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3"/>
      <c r="M917" s="1"/>
      <c r="N917" s="1"/>
      <c r="O917" s="1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4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3"/>
      <c r="M918" s="1"/>
      <c r="N918" s="1"/>
      <c r="O918" s="1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4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3"/>
      <c r="M919" s="1"/>
      <c r="N919" s="1"/>
      <c r="O919" s="1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4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3"/>
      <c r="M920" s="1"/>
      <c r="N920" s="1"/>
      <c r="O920" s="1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4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3"/>
      <c r="M921" s="1"/>
      <c r="N921" s="1"/>
      <c r="O921" s="1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4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3"/>
      <c r="M922" s="1"/>
      <c r="N922" s="1"/>
      <c r="O922" s="1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4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3"/>
      <c r="M923" s="1"/>
      <c r="N923" s="1"/>
      <c r="O923" s="1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4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3"/>
      <c r="M924" s="1"/>
      <c r="N924" s="1"/>
      <c r="O924" s="1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4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3"/>
      <c r="M925" s="1"/>
      <c r="N925" s="1"/>
      <c r="O925" s="1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4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3"/>
      <c r="M926" s="1"/>
      <c r="N926" s="1"/>
      <c r="O926" s="1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4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3"/>
      <c r="M927" s="1"/>
      <c r="N927" s="1"/>
      <c r="O927" s="1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4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3"/>
      <c r="M928" s="1"/>
      <c r="N928" s="1"/>
      <c r="O928" s="1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4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3"/>
      <c r="M929" s="1"/>
      <c r="N929" s="1"/>
      <c r="O929" s="1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4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3"/>
      <c r="M930" s="1"/>
      <c r="N930" s="1"/>
      <c r="O930" s="1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4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3"/>
      <c r="M931" s="1"/>
      <c r="N931" s="1"/>
      <c r="O931" s="1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4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3"/>
      <c r="M932" s="1"/>
      <c r="N932" s="1"/>
      <c r="O932" s="1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4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3"/>
      <c r="M933" s="1"/>
      <c r="N933" s="1"/>
      <c r="O933" s="1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4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3"/>
      <c r="M934" s="1"/>
      <c r="N934" s="1"/>
      <c r="O934" s="1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4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3"/>
      <c r="M935" s="1"/>
      <c r="N935" s="1"/>
      <c r="O935" s="1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4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3"/>
      <c r="M936" s="1"/>
      <c r="N936" s="1"/>
      <c r="O936" s="1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4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3"/>
      <c r="M937" s="1"/>
      <c r="N937" s="1"/>
      <c r="O937" s="1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4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3"/>
      <c r="M938" s="1"/>
      <c r="N938" s="1"/>
      <c r="O938" s="1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4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3"/>
      <c r="M939" s="1"/>
      <c r="N939" s="1"/>
      <c r="O939" s="1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4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3"/>
      <c r="M940" s="1"/>
      <c r="N940" s="1"/>
      <c r="O940" s="1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4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3"/>
      <c r="M941" s="1"/>
      <c r="N941" s="1"/>
      <c r="O941" s="1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4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3"/>
      <c r="M942" s="1"/>
      <c r="N942" s="1"/>
      <c r="O942" s="1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4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3"/>
      <c r="M943" s="1"/>
      <c r="N943" s="1"/>
      <c r="O943" s="1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4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3"/>
      <c r="M944" s="1"/>
      <c r="N944" s="1"/>
      <c r="O944" s="1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4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3"/>
      <c r="M945" s="1"/>
      <c r="N945" s="1"/>
      <c r="O945" s="1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4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3"/>
      <c r="M946" s="1"/>
      <c r="N946" s="1"/>
      <c r="O946" s="1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4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3"/>
      <c r="M947" s="1"/>
      <c r="N947" s="1"/>
      <c r="O947" s="1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4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3"/>
      <c r="M948" s="1"/>
      <c r="N948" s="1"/>
      <c r="O948" s="1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4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3"/>
      <c r="M949" s="1"/>
      <c r="N949" s="1"/>
      <c r="O949" s="1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4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3"/>
      <c r="M950" s="1"/>
      <c r="N950" s="1"/>
      <c r="O950" s="1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4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3"/>
      <c r="M951" s="1"/>
      <c r="N951" s="1"/>
      <c r="O951" s="1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4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3"/>
      <c r="M952" s="1"/>
      <c r="N952" s="1"/>
      <c r="O952" s="1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4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3"/>
      <c r="M953" s="1"/>
      <c r="N953" s="1"/>
      <c r="O953" s="1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4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3"/>
      <c r="M954" s="1"/>
      <c r="N954" s="1"/>
      <c r="O954" s="1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4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3"/>
      <c r="M955" s="1"/>
      <c r="N955" s="1"/>
      <c r="O955" s="1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4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3"/>
      <c r="M956" s="1"/>
      <c r="N956" s="1"/>
      <c r="O956" s="1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4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3"/>
      <c r="M957" s="1"/>
      <c r="N957" s="1"/>
      <c r="O957" s="1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4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3"/>
      <c r="M958" s="1"/>
      <c r="N958" s="1"/>
      <c r="O958" s="1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4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3"/>
      <c r="M959" s="1"/>
      <c r="N959" s="1"/>
      <c r="O959" s="1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4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3"/>
      <c r="M960" s="1"/>
      <c r="N960" s="1"/>
      <c r="O960" s="1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4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3"/>
      <c r="M961" s="1"/>
      <c r="N961" s="1"/>
      <c r="O961" s="1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4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3"/>
      <c r="M962" s="1"/>
      <c r="N962" s="1"/>
      <c r="O962" s="1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4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3"/>
      <c r="M963" s="1"/>
      <c r="N963" s="1"/>
      <c r="O963" s="1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4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3"/>
      <c r="M964" s="1"/>
      <c r="N964" s="1"/>
      <c r="O964" s="1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4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3"/>
      <c r="M965" s="1"/>
      <c r="N965" s="1"/>
      <c r="O965" s="1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4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3"/>
      <c r="M966" s="1"/>
      <c r="N966" s="1"/>
      <c r="O966" s="1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4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3"/>
      <c r="M967" s="1"/>
      <c r="N967" s="1"/>
      <c r="O967" s="1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4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3"/>
      <c r="M968" s="1"/>
      <c r="N968" s="1"/>
      <c r="O968" s="1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4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3"/>
      <c r="M969" s="1"/>
      <c r="N969" s="1"/>
      <c r="O969" s="1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4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3"/>
      <c r="M970" s="1"/>
      <c r="N970" s="1"/>
      <c r="O970" s="1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4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3"/>
      <c r="M971" s="1"/>
      <c r="N971" s="1"/>
      <c r="O971" s="1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4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3"/>
      <c r="M972" s="1"/>
      <c r="N972" s="1"/>
      <c r="O972" s="1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4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3"/>
      <c r="M973" s="1"/>
      <c r="N973" s="1"/>
      <c r="O973" s="1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4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3"/>
      <c r="M974" s="1"/>
      <c r="N974" s="1"/>
      <c r="O974" s="1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4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3"/>
      <c r="M975" s="1"/>
      <c r="N975" s="1"/>
      <c r="O975" s="1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4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3"/>
      <c r="M976" s="1"/>
      <c r="N976" s="1"/>
      <c r="O976" s="1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4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3"/>
      <c r="M977" s="1"/>
      <c r="N977" s="1"/>
      <c r="O977" s="1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4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3"/>
      <c r="M978" s="1"/>
      <c r="N978" s="1"/>
      <c r="O978" s="1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4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3"/>
      <c r="M979" s="1"/>
      <c r="N979" s="1"/>
      <c r="O979" s="1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4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3"/>
      <c r="M980" s="1"/>
      <c r="N980" s="1"/>
      <c r="O980" s="1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4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3"/>
      <c r="M981" s="1"/>
      <c r="N981" s="1"/>
      <c r="O981" s="1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4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3"/>
      <c r="M982" s="1"/>
      <c r="N982" s="1"/>
      <c r="O982" s="1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4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3"/>
      <c r="M983" s="1"/>
      <c r="N983" s="1"/>
      <c r="O983" s="1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4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3"/>
      <c r="M984" s="1"/>
      <c r="N984" s="1"/>
      <c r="O984" s="1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4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3"/>
      <c r="M985" s="1"/>
      <c r="N985" s="1"/>
      <c r="O985" s="1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4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3"/>
      <c r="M986" s="1"/>
      <c r="N986" s="1"/>
      <c r="O986" s="1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4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3"/>
      <c r="M987" s="1"/>
      <c r="N987" s="1"/>
      <c r="O987" s="1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4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3"/>
      <c r="M988" s="1"/>
      <c r="N988" s="1"/>
      <c r="O988" s="1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4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3"/>
      <c r="M989" s="1"/>
      <c r="N989" s="1"/>
      <c r="O989" s="1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4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3"/>
      <c r="M990" s="1"/>
      <c r="N990" s="1"/>
      <c r="O990" s="1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4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3"/>
      <c r="M991" s="1"/>
      <c r="N991" s="1"/>
      <c r="O991" s="1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4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3"/>
      <c r="M992" s="1"/>
      <c r="N992" s="1"/>
      <c r="O992" s="1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4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3"/>
      <c r="M993" s="1"/>
      <c r="N993" s="1"/>
      <c r="O993" s="1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4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3"/>
      <c r="M994" s="1"/>
      <c r="N994" s="1"/>
      <c r="O994" s="1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4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3"/>
      <c r="M995" s="1"/>
      <c r="N995" s="1"/>
      <c r="O995" s="1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4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3"/>
      <c r="M996" s="1"/>
      <c r="N996" s="1"/>
      <c r="O996" s="1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4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3"/>
      <c r="M997" s="1"/>
      <c r="N997" s="1"/>
      <c r="O997" s="1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4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3"/>
      <c r="M998" s="1"/>
      <c r="N998" s="1"/>
      <c r="O998" s="1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4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3"/>
      <c r="M999" s="1"/>
      <c r="N999" s="1"/>
      <c r="O999" s="1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4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3"/>
      <c r="M1000" s="1"/>
      <c r="N1000" s="1"/>
      <c r="O1000" s="1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ht="14.25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3"/>
      <c r="M1001" s="1"/>
      <c r="N1001" s="1"/>
      <c r="O1001" s="1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ht="14.25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3"/>
      <c r="M1002" s="1"/>
      <c r="N1002" s="1"/>
      <c r="O1002" s="1"/>
      <c r="P1002" s="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ht="14.25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3"/>
      <c r="M1003" s="1"/>
      <c r="N1003" s="1"/>
      <c r="O1003" s="1"/>
      <c r="P1003" s="2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ht="14.25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3"/>
      <c r="M1004" s="1"/>
      <c r="N1004" s="1"/>
      <c r="O1004" s="1"/>
      <c r="P1004" s="2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ht="14.2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3"/>
      <c r="M1005" s="1"/>
      <c r="N1005" s="1"/>
      <c r="O1005" s="1"/>
      <c r="P1005" s="2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</sheetData>
  <mergeCells count="8">
    <mergeCell ref="B2:D2"/>
    <mergeCell ref="F2:G2"/>
    <mergeCell ref="J2:K2"/>
    <mergeCell ref="N2:O2"/>
    <mergeCell ref="R2:U2"/>
    <mergeCell ref="Y2:AC2"/>
    <mergeCell ref="AG2:AJ2"/>
    <mergeCell ref="AN2:AQ2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2025-11-20T18:41:41Z</dcterms:modified>
</cp:coreProperties>
</file>